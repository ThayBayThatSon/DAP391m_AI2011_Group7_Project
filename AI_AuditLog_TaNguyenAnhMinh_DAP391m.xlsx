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623d911dd84dd6" /></Relationships>
</file>

<file path=xl/workbook.xml><?xml version="1.0" encoding="utf-8"?>
<x:workbook xmlns:x="http://schemas.openxmlformats.org/spreadsheetml/2006/main">
  <x:sheets>
    <x:sheet xmlns:r="http://schemas.openxmlformats.org/officeDocument/2006/relationships" name="1. Metadata &amp; Summary" sheetId="1" r:id="R8f92273e76f247f6"/>
    <x:sheet xmlns:r="http://schemas.openxmlformats.org/officeDocument/2006/relationships" name="2. Detailed Audit Log" sheetId="2" r:id="R7e1cdb5675e14a31"/>
    <x:sheet xmlns:r="http://schemas.openxmlformats.org/officeDocument/2006/relationships" name="3. Hallucination Detection" sheetId="3" r:id="R733136bb848a45f4"/>
    <x:sheet xmlns:r="http://schemas.openxmlformats.org/officeDocument/2006/relationships" name="4. Self-Assessment Checklist" sheetId="4" r:id="R90f55fa397f64e7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0.0%"/>
    <x:numFmt numFmtId="200" formatCode="0"/>
  </x:numFmts>
  <x:fonts count="27">
    <x:font>
      <x:sz val="11"/>
      <x:color theme="1"/>
      <x:name val="Arial"/>
    </x:font>
    <x:font>
      <x:b/>
      <x:sz val="16"/>
      <x:color rgb="FF2E75B6"/>
      <x:name val="Calibri"/>
    </x:font>
    <x:font>
      <x:b/>
      <x:sz val="14"/>
      <x:color rgb="FF2E75B6"/>
      <x:name val="Calibri"/>
    </x:font>
    <x:font>
      <x:b/>
      <x:sz val="11"/>
      <x:name val="Calibri"/>
    </x:font>
    <x:font>
      <x:i/>
      <x:sz val="9"/>
      <x:color rgb="FF666666"/>
      <x:name val="Calibri"/>
    </x:font>
    <x:font>
      <x:b/>
      <x:sz val="11"/>
      <x:color rgb="FFFFFFFF"/>
      <x:name val="Calibri"/>
    </x:font>
    <x:font>
      <x:i/>
      <x:sz val="10"/>
      <x:color rgb="FF666666"/>
      <x:name val="Calibri"/>
    </x:font>
    <x:font>
      <x:b/>
      <x:sz val="16"/>
      <x:color rgb="FFFF0000"/>
      <x:name val="Calibri"/>
    </x:font>
    <x:font>
      <x:b/>
      <x:i/>
      <x:sz val="10"/>
      <x:color rgb="FFFF0000"/>
      <x:name val="Calibri"/>
    </x:font>
    <x:font>
      <x:sz val="10"/>
      <x:name val="Calibri"/>
    </x:font>
    <x:font>
      <x:b/>
      <x:sz val="12"/>
      <x:color rgb="FFFF0000"/>
      <x:name val="Calibri"/>
    </x:font>
    <x:font>
      <x:sz val="11"/>
      <x:color rgb="FFFF0000"/>
      <x:name val="Calibri"/>
    </x:font>
    <x:font>
      <x:i/>
      <x:sz val="10"/>
      <x:name val="Calibri"/>
    </x:font>
    <x:font>
      <x:b/>
      <x:sz val="11"/>
      <x:color theme="1"/>
      <x:name val="Arial"/>
    </x:font>
    <x:font>
      <x:b/>
      <x:sz val="14"/>
      <x:color rgb="FFFFFFFF"/>
      <x:name val="Calibri"/>
    </x:font>
    <x:font>
      <x:b/>
      <x:sz val="14"/>
      <x:color rgb="FFFFFFFF"/>
      <x:name val="Arial"/>
    </x:font>
    <x:font>
      <x:b/>
      <x:sz val="14"/>
      <x:color rgb="FF1F4E79"/>
      <x:name val="Calibri"/>
    </x:font>
    <x:font>
      <x:b/>
      <x:sz val="11"/>
      <x:color rgb="FF1F4E79"/>
      <x:name val="Arial"/>
    </x:font>
    <x:font>
      <x:b/>
      <x:sz val="11"/>
      <x:color rgb="FF1F4E79"/>
      <x:name val="Calibri"/>
    </x:font>
    <x:font>
      <x:b/>
      <x:sz val="11"/>
      <x:color rgb="FFFFFFFF"/>
      <x:name val="Arial"/>
    </x:font>
    <x:font>
      <x:b/>
      <x:sz val="10"/>
      <x:color rgb="FF1F1F1F"/>
      <x:name val="Calibri"/>
    </x:font>
    <x:font>
      <x:sz val="10"/>
      <x:color rgb="FF1F1F1F"/>
      <x:name val="Arial"/>
    </x:font>
    <x:font>
      <x:b/>
      <x:sz val="10"/>
      <x:color rgb="FF1F1F1F"/>
      <x:name val="Arial"/>
    </x:font>
    <x:font>
      <x:i/>
      <x:sz val="10"/>
      <x:color rgb="FF1F1F1F"/>
      <x:name val="Calibri"/>
    </x:font>
    <x:font>
      <x:b/>
      <x:i/>
      <x:sz val="10"/>
      <x:color rgb="FF1F4E79"/>
      <x:name val="Calibri"/>
    </x:font>
    <x:font>
      <x:b/>
      <x:sz val="12"/>
      <x:color rgb="FF1F4E79"/>
      <x:name val="Calibri"/>
    </x:font>
    <x:font>
      <x:sz val="10"/>
      <x:color rgb="FF1F1F1F"/>
      <x:name val="Calibri"/>
    </x:font>
  </x:fonts>
  <x:fills count="9">
    <x:fill>
      <x:patternFill patternType="none"/>
    </x:fill>
    <x:fill>
      <x:patternFill patternType="gray125"/>
    </x:fill>
    <x:fill>
      <x:patternFill patternType="solid">
        <x:fgColor rgb="FFFFFF00"/>
      </x:patternFill>
    </x:fill>
    <x:fill>
      <x:patternFill patternType="solid">
        <x:fgColor rgb="FF2E75B6"/>
      </x:patternFill>
    </x:fill>
    <x:fill>
      <x:patternFill patternType="solid">
        <x:fgColor rgb="FFF2F2F2"/>
      </x:patternFill>
    </x:fill>
    <x:fill>
      <x:patternFill patternType="solid">
        <x:fgColor rgb="FFFFFF00"/>
      </x:patternFill>
    </x:fill>
    <x:fill>
      <x:patternFill patternType="solid">
        <x:fgColor rgb="FF1F4E79"/>
      </x:patternFill>
    </x:fill>
    <x:fill>
      <x:patternFill patternType="solid">
        <x:fgColor rgb="FFD9EAF7"/>
      </x:patternFill>
    </x:fill>
    <x:fill>
      <x:patternFill patternType="solid">
        <x:fgColor rgb="FF5B9BD5"/>
      </x:patternFill>
    </x:fill>
  </x:fills>
  <x:borders count="6">
    <x:border/>
    <x:border>
      <x:left style="thin">
        <x:color rgb="FFCCCCCC"/>
      </x:left>
      <x:right style="thin">
        <x:color rgb="FFCCCCCC"/>
      </x:right>
      <x:top style="thin">
        <x:color rgb="FFCCCCCC"/>
      </x:top>
      <x:bottom style="thin">
        <x:color rgb="FFCCCCCC"/>
      </x:bottom>
    </x:border>
    <x:border>
      <x:left style="thin">
        <x:color indexed="64"/>
      </x:left>
      <x:right style="thin">
        <x:color indexed="64"/>
      </x:right>
      <x:top style="thin">
        <x:color indexed="64"/>
      </x:top>
      <x:bottom style="thin">
        <x:color indexed="64"/>
      </x:bottom>
    </x:border>
    <x:border>
      <x:left style="thin">
        <x:color rgb="FFCCCCCC"/>
      </x:left>
      <x:right style="thin">
        <x:color rgb="FFCCCCCC"/>
      </x:right>
      <x:top style="thin">
        <x:color rgb="FFCCCCCC"/>
      </x:top>
    </x:border>
    <x:border>
      <x:left style="thin">
        <x:color rgb="FFD9E2F3"/>
      </x:left>
      <x:right style="thin">
        <x:color rgb="FFD9E2F3"/>
      </x:right>
      <x:top style="thin">
        <x:color rgb="FFD9E2F3"/>
      </x:top>
      <x:bottom style="thin">
        <x:color rgb="FFD9E2F3"/>
      </x:bottom>
    </x:border>
    <x:border>
      <x:left style="thin">
        <x:color rgb="FFE7E6E6"/>
      </x:left>
      <x:right style="thin">
        <x:color rgb="FFE7E6E6"/>
      </x:right>
      <x:top style="thin">
        <x:color rgb="FFE7E6E6"/>
      </x:top>
      <x:bottom style="thin">
        <x:color rgb="FFE7E6E6"/>
      </x:bottom>
    </x:border>
  </x:borders>
  <x:cellStyleXfs count="1">
    <x:xf numFmtId="0" fontId="0" fillId="0" borderId="0"/>
  </x:cellStyleXfs>
  <x:cellXfs count="134">
    <x:xf numFmtId="0" fontId="0" fillId="0" borderId="0" xfId="0"/>
    <x:xf numFmtId="0" fontId="2" fillId="0" borderId="0" xfId="0" applyFont="1"/>
    <x:xf numFmtId="0" fontId="3" fillId="0" borderId="0" xfId="0" applyFont="1"/>
    <x:xf numFmtId="0" fontId="0" fillId="2" borderId="0" xfId="0" applyFill="1"/>
    <x:xf numFmtId="164" fontId="0" fillId="0" borderId="0" xfId="0" applyNumberFormat="1"/>
    <x:xf numFmtId="0" fontId="4" fillId="0" borderId="0" xfId="0" applyFont="1"/>
    <x:xf numFmtId="0" fontId="5" fillId="3" borderId="1" xfId="0" applyFont="1" applyFill="1" applyBorder="1" applyAlignment="1">
      <x:alignment horizontal="center" vertical="center" wrapText="1"/>
    </x:xf>
    <x:xf numFmtId="0" fontId="0" fillId="0" borderId="1" xfId="0" applyBorder="1" applyAlignment="1">
      <x:alignment horizontal="left" vertical="top" wrapText="1"/>
    </x:xf>
    <x:xf numFmtId="0" fontId="0" fillId="0" borderId="1" xfId="0" applyBorder="1" applyAlignment="1">
      <x:alignment horizontal="center" vertical="center" wrapText="1"/>
    </x:xf>
    <x:xf numFmtId="0" fontId="3" fillId="4" borderId="1" xfId="0" applyFont="1" applyFill="1" applyBorder="1" applyAlignment="1">
      <x:alignment horizontal="left" vertical="top" wrapText="1"/>
    </x:xf>
    <x:xf numFmtId="0" fontId="5" fillId="3" borderId="1" xfId="0" applyFont="1" applyFill="1" applyBorder="1" applyAlignment="1">
      <x:alignment horizontal="left" vertical="top" wrapText="1"/>
    </x:xf>
    <x:xf numFmtId="0" fontId="9" fillId="0" borderId="1" xfId="0" applyFont="1" applyBorder="1" applyAlignment="1">
      <x:alignment horizontal="center" vertical="center" wrapText="1"/>
    </x:xf>
    <x:xf numFmtId="0" fontId="9" fillId="0" borderId="1" xfId="0" applyFont="1" applyBorder="1" applyAlignment="1">
      <x:alignment horizontal="left" vertical="top" wrapText="1"/>
    </x:xf>
    <x:xf numFmtId="0" fontId="10" fillId="0" borderId="0" xfId="0" applyFont="1"/>
    <x:xf numFmtId="0" fontId="11" fillId="0" borderId="0" xfId="0" applyFont="1"/>
    <x:xf numFmtId="0" fontId="12" fillId="0" borderId="0" xfId="0" applyFont="1"/>
    <x:xf numFmtId="0" fontId="3" fillId="4" borderId="1" xfId="0" applyFont="1" applyFill="1" applyBorder="1" applyAlignment="1">
      <x:alignment horizontal="center" vertical="center" wrapText="1"/>
    </x:xf>
    <x:xf numFmtId="0" fontId="0" fillId="0" borderId="0" xfId="0" applyAlignment="1">
      <x:alignment horizontal="center" vertical="center" wrapText="1"/>
    </x:xf>
    <x:xf numFmtId="0" fontId="13" fillId="0" borderId="0" xfId="0" applyFont="1" applyAlignment="1">
      <x:alignment horizontal="center" vertical="center" wrapText="1"/>
    </x:xf>
    <x:xf numFmtId="0" fontId="0" fillId="0" borderId="0" xfId="0" applyAlignment="1">
      <x:alignment vertical="center" wrapText="1"/>
    </x:xf>
    <x:xf numFmtId="0" fontId="13" fillId="0" borderId="0" xfId="0" applyFont="1" applyAlignment="1">
      <x:alignment vertical="center" wrapText="1"/>
    </x:xf>
    <x:xf numFmtId="0" fontId="5" fillId="3" borderId="3" xfId="0" applyFont="1" applyFill="1" applyBorder="1" applyAlignment="1">
      <x:alignment horizontal="center" vertical="center" wrapText="1"/>
    </x:xf>
    <x:xf numFmtId="0" fontId="0" fillId="5" borderId="2" xfId="0" applyFill="1" applyBorder="1" applyAlignment="1">
      <x:alignment vertical="center" wrapText="1"/>
    </x:xf>
    <x:xf numFmtId="0" fontId="13" fillId="5" borderId="2" xfId="0" applyFont="1" applyFill="1" applyBorder="1" applyAlignment="1">
      <x:alignment vertical="center" wrapText="1"/>
    </x:xf>
    <x:xf numFmtId="0" fontId="0" fillId="5" borderId="2" xfId="0" applyFill="1" applyBorder="1" applyAlignment="1">
      <x:alignment horizontal="center" vertical="center" wrapText="1"/>
    </x:xf>
    <x:xf numFmtId="0" fontId="13" fillId="5" borderId="2" xfId="0" applyFont="1" applyFill="1" applyBorder="1" applyAlignment="1">
      <x:alignment horizontal="center" vertical="center" wrapText="1"/>
    </x:xf>
    <x:xf numFmtId="0" fontId="0" fillId="0" borderId="1" xfId="0" applyBorder="1" applyAlignment="1">
      <x:alignment horizontal="center" vertical="top" wrapText="1"/>
    </x:xf>
    <x:xf numFmtId="0" fontId="1" fillId="0" borderId="0" xfId="0" applyFont="1" applyAlignment="1">
      <x:alignment horizontal="center" vertical="center" wrapText="1"/>
    </x:xf>
    <x:xf numFmtId="0" fontId="0" fillId="0" borderId="0" xfId="0"/>
    <x:xf numFmtId="0" fontId="6" fillId="0" borderId="0" xfId="0" applyFont="1" applyAlignment="1">
      <x:alignment horizontal="left" vertical="top" wrapText="1"/>
    </x:xf>
    <x:xf numFmtId="0" fontId="8" fillId="0" borderId="0" xfId="0" applyFont="1" applyAlignment="1">
      <x:alignment horizontal="center" vertical="center" wrapText="1"/>
    </x:xf>
    <x:xf numFmtId="0" fontId="7" fillId="0" borderId="0" xfId="0" applyFont="1" applyAlignment="1">
      <x:alignment horizontal="center" vertical="center" wrapText="1"/>
    </x:xf>
    <x:xf numFmtId="0" fontId="6" fillId="0" borderId="0" xfId="0" applyFont="1" applyAlignment="1">
      <x:alignment horizontal="center" vertical="center" wrapText="1"/>
    </x:xf>
    <x:xf numFmtId="200" fontId="0" fillId="2" borderId="0" xfId="0" applyNumberFormat="1" applyFont="1" applyFill="1" applyBorder="1"/>
    <x:xf numFmtId="200" fontId="0" fillId="0" borderId="0" xfId="0" applyNumberFormat="1" applyFont="1" applyFill="1" applyBorder="1"/>
    <x:xf numFmtId="164" fontId="0" fillId="2" borderId="0" xfId="0" applyNumberFormat="1" applyFont="1" applyFill="1" applyBorder="1"/>
    <x:xf numFmtId="0" fontId="1" fillId="6" borderId="0" xfId="0" applyNumberFormat="1" applyFont="1" applyFill="1" applyBorder="1" applyAlignment="1">
      <x:alignment horizontal="center" vertical="center" wrapText="1"/>
    </x:xf>
    <x:xf numFmtId="0" fontId="0" fillId="6" borderId="0" xfId="0" applyNumberFormat="1" applyFont="1" applyFill="1" applyBorder="1"/>
    <x:xf numFmtId="0" fontId="14" fillId="6" borderId="0" xfId="0" applyNumberFormat="1" applyFont="1" applyFill="1" applyBorder="1" applyAlignment="1">
      <x:alignment horizontal="center" vertical="center" wrapText="1"/>
    </x:xf>
    <x:xf numFmtId="0" fontId="15" fillId="6" borderId="0" xfId="0" applyNumberFormat="1" applyFont="1" applyFill="1" applyBorder="1"/>
    <x:xf numFmtId="0" fontId="15" fillId="6" borderId="0" xfId="0" applyNumberFormat="1" applyFont="1" applyFill="1" applyBorder="1" applyAlignment="1">
      <x:alignment wrapText="1"/>
    </x:xf>
    <x:xf numFmtId="0" fontId="2" fillId="7" borderId="0" xfId="0" applyNumberFormat="1" applyFont="1" applyFill="1" applyBorder="1"/>
    <x:xf numFmtId="0" fontId="0" fillId="7" borderId="0" xfId="0" applyNumberFormat="1" applyFont="1" applyFill="1" applyBorder="1"/>
    <x:xf numFmtId="0" fontId="16" fillId="7" borderId="0" xfId="0" applyNumberFormat="1" applyFont="1" applyFill="1" applyBorder="1"/>
    <x:xf numFmtId="0" fontId="17" fillId="7" borderId="0" xfId="0" applyNumberFormat="1" applyFont="1" applyFill="1" applyBorder="1"/>
    <x:xf numFmtId="0" fontId="16" fillId="7" borderId="0" xfId="0" applyNumberFormat="1" applyFont="1" applyFill="1" applyBorder="1" applyAlignment="1">
      <x:alignment wrapText="1"/>
    </x:xf>
    <x:xf numFmtId="0" fontId="17" fillId="7" borderId="0" xfId="0" applyNumberFormat="1" applyFont="1" applyFill="1" applyBorder="1" applyAlignment="1">
      <x:alignment wrapText="1"/>
    </x:xf>
    <x:xf numFmtId="0" fontId="3" fillId="7" borderId="0" xfId="0" applyNumberFormat="1" applyFont="1" applyFill="1" applyBorder="1"/>
    <x:xf numFmtId="0" fontId="18" fillId="7" borderId="0" xfId="0" applyNumberFormat="1" applyFont="1" applyFill="1" applyBorder="1"/>
    <x:xf numFmtId="0" fontId="18" fillId="7" borderId="0" xfId="0" applyNumberFormat="1" applyFont="1" applyFill="1" applyBorder="1" applyAlignment="1">
      <x:alignment wrapText="1"/>
    </x:xf>
    <x:xf numFmtId="0" fontId="0" fillId="8" borderId="1" xfId="0" applyNumberFormat="1" applyFont="1" applyFill="1" applyBorder="1" applyAlignment="1">
      <x:alignment horizontal="left" vertical="top" wrapText="1"/>
    </x:xf>
    <x:xf numFmtId="0" fontId="19" fillId="8" borderId="1" xfId="0" applyNumberFormat="1" applyFont="1" applyFill="1" applyBorder="1" applyAlignment="1">
      <x:alignment horizontal="left" vertical="top" wrapText="1"/>
    </x:xf>
    <x:xf numFmtId="0" fontId="19" fillId="8" borderId="4" xfId="0" applyNumberFormat="1" applyFont="1" applyFill="1" applyBorder="1" applyAlignment="1">
      <x:alignment horizontal="left" vertical="top" wrapText="1"/>
    </x:xf>
    <x:xf numFmtId="0" fontId="5" fillId="8" borderId="3" xfId="0" applyNumberFormat="1" applyFont="1" applyFill="1" applyBorder="1" applyAlignment="1">
      <x:alignment horizontal="center" vertical="center" wrapText="1"/>
    </x:xf>
    <x:xf numFmtId="0" fontId="0" fillId="8" borderId="0" xfId="0" applyNumberFormat="1" applyFont="1" applyFill="1" applyBorder="1"/>
    <x:xf numFmtId="0" fontId="19" fillId="8" borderId="0" xfId="0" applyNumberFormat="1" applyFont="1" applyFill="1" applyBorder="1"/>
    <x:xf numFmtId="0" fontId="19" fillId="8" borderId="0" xfId="0" applyNumberFormat="1" applyFont="1" applyFill="1" applyBorder="1" applyAlignment="1">
      <x:alignment wrapText="1"/>
    </x:xf>
    <x:xf numFmtId="0" fontId="5" fillId="8" borderId="4" xfId="0" applyNumberFormat="1" applyFont="1" applyFill="1" applyBorder="1" applyAlignment="1">
      <x:alignment horizontal="center" vertical="center" wrapText="1"/>
    </x:xf>
    <x:xf numFmtId="0" fontId="19" fillId="8" borderId="4" xfId="0" applyNumberFormat="1" applyFont="1" applyFill="1" applyBorder="1" applyAlignment="1">
      <x:alignment wrapText="1"/>
    </x:xf>
    <x:xf numFmtId="0" fontId="20" fillId="0" borderId="0" xfId="0" applyNumberFormat="1" applyFont="1" applyFill="1" applyBorder="1"/>
    <x:xf numFmtId="0" fontId="21" fillId="0" borderId="0" xfId="0" applyNumberFormat="1" applyFont="1" applyFill="1" applyBorder="1"/>
    <x:xf numFmtId="0" fontId="20" fillId="7" borderId="0" xfId="0" applyNumberFormat="1" applyFont="1" applyFill="1" applyBorder="1" applyAlignment="1">
      <x:alignment wrapText="1"/>
    </x:xf>
    <x:xf numFmtId="0" fontId="22" fillId="7" borderId="0" xfId="0" applyNumberFormat="1" applyFont="1" applyFill="1" applyBorder="1" applyAlignment="1">
      <x:alignment wrapText="1"/>
    </x:xf>
    <x:xf numFmtId="200" fontId="21" fillId="2" borderId="0" xfId="0" applyNumberFormat="1" applyFont="1" applyFill="1" applyBorder="1"/>
    <x:xf numFmtId="200" fontId="21" fillId="0" borderId="0" xfId="0" applyNumberFormat="1" applyFont="1" applyFill="1" applyBorder="1"/>
    <x:xf numFmtId="0" fontId="23" fillId="0" borderId="0" xfId="0" applyNumberFormat="1" applyFont="1" applyFill="1" applyBorder="1"/>
    <x:xf numFmtId="164" fontId="21" fillId="2" borderId="0" xfId="0" applyNumberFormat="1" applyFont="1" applyFill="1" applyBorder="1"/>
    <x:xf numFmtId="0" fontId="20" fillId="3" borderId="1" xfId="0" applyNumberFormat="1" applyFont="1" applyFill="1" applyBorder="1" applyAlignment="1">
      <x:alignment horizontal="center" vertical="center" wrapText="1"/>
    </x:xf>
    <x:xf numFmtId="0" fontId="22" fillId="8" borderId="4" xfId="0" applyNumberFormat="1" applyFont="1" applyFill="1" applyBorder="1" applyAlignment="1">
      <x:alignment horizontal="left" vertical="top" wrapText="1"/>
    </x:xf>
    <x:xf numFmtId="0" fontId="21" fillId="0" borderId="1" xfId="0" applyNumberFormat="1" applyFont="1" applyFill="1" applyBorder="1" applyAlignment="1">
      <x:alignment horizontal="left" vertical="top" wrapText="1"/>
    </x:xf>
    <x:xf numFmtId="0" fontId="20" fillId="8" borderId="4" xfId="0" applyNumberFormat="1" applyFont="1" applyFill="1" applyBorder="1" applyAlignment="1">
      <x:alignment horizontal="center" vertical="center" wrapText="1"/>
    </x:xf>
    <x:xf numFmtId="0" fontId="22" fillId="8" borderId="4" xfId="0" applyNumberFormat="1" applyFont="1" applyFill="1" applyBorder="1" applyAlignment="1">
      <x:alignment wrapText="1"/>
    </x:xf>
    <x:xf numFmtId="0" fontId="21" fillId="2" borderId="2" xfId="0" applyNumberFormat="1" applyFont="1" applyFill="1" applyBorder="1" applyAlignment="1">
      <x:alignment vertical="center" wrapText="1"/>
    </x:xf>
    <x:xf numFmtId="0" fontId="21" fillId="2" borderId="2" xfId="0" applyNumberFormat="1" applyFont="1" applyFill="1" applyBorder="1" applyAlignment="1">
      <x:alignment horizontal="center" vertical="center" wrapText="1"/>
    </x:xf>
    <x:xf numFmtId="0" fontId="20" fillId="0" borderId="0" xfId="0" applyNumberFormat="1" applyFont="1" applyFill="1" applyBorder="1" applyAlignment="1">
      <x:alignment wrapText="1"/>
    </x:xf>
    <x:xf numFmtId="0" fontId="21" fillId="0" borderId="0" xfId="0" applyNumberFormat="1" applyFont="1" applyFill="1" applyBorder="1" applyAlignment="1">
      <x:alignment wrapText="1"/>
    </x:xf>
    <x:xf numFmtId="200" fontId="21" fillId="2" borderId="0" xfId="0" applyNumberFormat="1" applyFont="1" applyFill="1" applyBorder="1" applyAlignment="1">
      <x:alignment wrapText="1"/>
    </x:xf>
    <x:xf numFmtId="200" fontId="21" fillId="0" borderId="0" xfId="0" applyNumberFormat="1" applyFont="1" applyFill="1" applyBorder="1" applyAlignment="1">
      <x:alignment wrapText="1"/>
    </x:xf>
    <x:xf numFmtId="0" fontId="23" fillId="0" borderId="0" xfId="0" applyNumberFormat="1" applyFont="1" applyFill="1" applyBorder="1" applyAlignment="1">
      <x:alignment wrapText="1"/>
    </x:xf>
    <x:xf numFmtId="164" fontId="21" fillId="2" borderId="0" xfId="0" applyNumberFormat="1" applyFont="1" applyFill="1" applyBorder="1" applyAlignment="1">
      <x:alignment wrapText="1"/>
    </x:xf>
    <x:xf numFmtId="0" fontId="20" fillId="0" borderId="5" xfId="0" applyNumberFormat="1" applyFont="1" applyFill="1" applyBorder="1" applyAlignment="1">
      <x:alignment wrapText="1"/>
    </x:xf>
    <x:xf numFmtId="0" fontId="21" fillId="0" borderId="5" xfId="0" applyNumberFormat="1" applyFont="1" applyFill="1" applyBorder="1" applyAlignment="1">
      <x:alignment wrapText="1"/>
    </x:xf>
    <x:xf numFmtId="0" fontId="20" fillId="7" borderId="5" xfId="0" applyNumberFormat="1" applyFont="1" applyFill="1" applyBorder="1" applyAlignment="1">
      <x:alignment wrapText="1"/>
    </x:xf>
    <x:xf numFmtId="0" fontId="22" fillId="7" borderId="5" xfId="0" applyNumberFormat="1" applyFont="1" applyFill="1" applyBorder="1" applyAlignment="1">
      <x:alignment wrapText="1"/>
    </x:xf>
    <x:xf numFmtId="200" fontId="21" fillId="2" borderId="5" xfId="0" applyNumberFormat="1" applyFont="1" applyFill="1" applyBorder="1" applyAlignment="1">
      <x:alignment wrapText="1"/>
    </x:xf>
    <x:xf numFmtId="200" fontId="21" fillId="0" borderId="5" xfId="0" applyNumberFormat="1" applyFont="1" applyFill="1" applyBorder="1" applyAlignment="1">
      <x:alignment wrapText="1"/>
    </x:xf>
    <x:xf numFmtId="0" fontId="23" fillId="0" borderId="5" xfId="0" applyNumberFormat="1" applyFont="1" applyFill="1" applyBorder="1" applyAlignment="1">
      <x:alignment wrapText="1"/>
    </x:xf>
    <x:xf numFmtId="164" fontId="21" fillId="2" borderId="5" xfId="0" applyNumberFormat="1" applyFont="1" applyFill="1" applyBorder="1" applyAlignment="1">
      <x:alignment wrapText="1"/>
    </x:xf>
    <x:xf numFmtId="0" fontId="20" fillId="3" borderId="5" xfId="0" applyNumberFormat="1" applyFont="1" applyFill="1" applyBorder="1" applyAlignment="1">
      <x:alignment horizontal="center" vertical="center" wrapText="1"/>
    </x:xf>
    <x:xf numFmtId="0" fontId="22" fillId="8" borderId="5" xfId="0" applyNumberFormat="1" applyFont="1" applyFill="1" applyBorder="1" applyAlignment="1">
      <x:alignment horizontal="left" vertical="top" wrapText="1"/>
    </x:xf>
    <x:xf numFmtId="0" fontId="21" fillId="0" borderId="5" xfId="0" applyNumberFormat="1" applyFont="1" applyFill="1" applyBorder="1" applyAlignment="1">
      <x:alignment horizontal="left" vertical="top" wrapText="1"/>
    </x:xf>
    <x:xf numFmtId="0" fontId="20" fillId="8" borderId="5" xfId="0" applyNumberFormat="1" applyFont="1" applyFill="1" applyBorder="1" applyAlignment="1">
      <x:alignment horizontal="center" vertical="center" wrapText="1"/>
    </x:xf>
    <x:xf numFmtId="0" fontId="22" fillId="8" borderId="5" xfId="0" applyNumberFormat="1" applyFont="1" applyFill="1" applyBorder="1" applyAlignment="1">
      <x:alignment wrapText="1"/>
    </x:xf>
    <x:xf numFmtId="0" fontId="21" fillId="2" borderId="5" xfId="0" applyNumberFormat="1" applyFont="1" applyFill="1" applyBorder="1" applyAlignment="1">
      <x:alignment vertical="center" wrapText="1"/>
    </x:xf>
    <x:xf numFmtId="0" fontId="21" fillId="2" borderId="5"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3" fillId="2" borderId="2" xfId="0" applyNumberFormat="1" applyFont="1" applyFill="1" applyBorder="1" applyAlignment="1">
      <x:alignment vertical="center" wrapText="1"/>
    </x:xf>
    <x:xf numFmtId="0" fontId="13" fillId="2" borderId="2" xfId="0" applyNumberFormat="1" applyFont="1" applyFill="1" applyBorder="1" applyAlignment="1">
      <x:alignment horizontal="center" vertical="center" wrapText="1"/>
    </x:xf>
    <x:xf numFmtId="0" fontId="0" fillId="2" borderId="2" xfId="0" applyNumberFormat="1" applyFont="1" applyFill="1" applyBorder="1" applyAlignment="1">
      <x:alignment horizontal="center" vertical="center" wrapText="1"/>
    </x:xf>
    <x:xf numFmtId="0" fontId="13" fillId="0"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6" fillId="7" borderId="0" xfId="0" applyNumberFormat="1" applyFont="1" applyFill="1" applyBorder="1" applyAlignment="1">
      <x:alignment horizontal="left" vertical="top" wrapText="1"/>
    </x:xf>
    <x:xf numFmtId="0" fontId="24" fillId="7" borderId="0" xfId="0" applyNumberFormat="1" applyFont="1" applyFill="1" applyBorder="1" applyAlignment="1">
      <x:alignment horizontal="left" vertical="top" wrapText="1"/>
    </x:xf>
    <x:xf numFmtId="0" fontId="5" fillId="8" borderId="1" xfId="0" applyNumberFormat="1" applyFont="1" applyFill="1" applyBorder="1" applyAlignment="1">
      <x:alignment horizontal="center" vertical="center" wrapText="1"/>
    </x:xf>
    <x:xf numFmtId="0" fontId="21" fillId="0" borderId="0" xfId="0" applyNumberFormat="1" applyFont="1" applyFill="1" applyBorder="1" applyAlignment="1">
      <x:alignment horizontal="center" vertical="center" wrapText="1"/>
    </x:xf>
    <x:xf numFmtId="0" fontId="21" fillId="0" borderId="0" xfId="0" applyNumberFormat="1" applyFont="1" applyFill="1" applyBorder="1" applyAlignment="1">
      <x:alignment vertical="center" wrapText="1"/>
    </x:xf>
    <x:xf numFmtId="0" fontId="21" fillId="0" borderId="1" xfId="0" applyNumberFormat="1" applyFont="1" applyFill="1" applyBorder="1" applyAlignment="1">
      <x:alignment horizontal="center" vertical="top" wrapText="1"/>
    </x:xf>
    <x:xf numFmtId="0" fontId="21" fillId="0" borderId="5" xfId="0" applyNumberFormat="1" applyFont="1" applyFill="1" applyBorder="1" applyAlignment="1">
      <x:alignment horizontal="center" vertical="center" wrapText="1"/>
    </x:xf>
    <x:xf numFmtId="0" fontId="21" fillId="0" borderId="5" xfId="0" applyNumberFormat="1" applyFont="1" applyFill="1" applyBorder="1" applyAlignment="1">
      <x:alignment vertical="center" wrapText="1"/>
    </x:xf>
    <x:xf numFmtId="0" fontId="21" fillId="0" borderId="5" xfId="0" applyNumberFormat="1" applyFont="1" applyFill="1" applyBorder="1" applyAlignment="1">
      <x:alignment horizontal="center" vertical="top" wrapText="1"/>
    </x:xf>
    <x:xf numFmtId="0" fontId="7" fillId="6" borderId="0" xfId="0" applyNumberFormat="1" applyFont="1" applyFill="1" applyBorder="1" applyAlignment="1">
      <x:alignment horizontal="center" vertical="center" wrapText="1"/>
    </x:xf>
    <x:xf numFmtId="0" fontId="8" fillId="7" borderId="0" xfId="0" applyNumberFormat="1" applyFont="1" applyFill="1" applyBorder="1" applyAlignment="1">
      <x:alignment horizontal="center" vertical="center" wrapText="1"/>
    </x:xf>
    <x:xf numFmtId="0" fontId="24" fillId="7" borderId="0" xfId="0" applyNumberFormat="1" applyFont="1" applyFill="1" applyBorder="1" applyAlignment="1">
      <x:alignment horizontal="center" vertical="center" wrapText="1"/>
    </x:xf>
    <x:xf numFmtId="0" fontId="5" fillId="8" borderId="1" xfId="0" applyNumberFormat="1" applyFont="1" applyFill="1" applyBorder="1" applyAlignment="1">
      <x:alignment horizontal="left" vertical="top" wrapText="1"/>
    </x:xf>
    <x:xf numFmtId="0" fontId="5" fillId="8" borderId="4" xfId="0" applyNumberFormat="1" applyFont="1" applyFill="1" applyBorder="1" applyAlignment="1">
      <x:alignment horizontal="left" vertical="top" wrapText="1"/>
    </x:xf>
    <x:xf numFmtId="0" fontId="10" fillId="7" borderId="0" xfId="0" applyNumberFormat="1" applyFont="1" applyFill="1" applyBorder="1"/>
    <x:xf numFmtId="0" fontId="25" fillId="7" borderId="0" xfId="0" applyNumberFormat="1" applyFont="1" applyFill="1" applyBorder="1"/>
    <x:xf numFmtId="0" fontId="25" fillId="7" borderId="0" xfId="0" applyNumberFormat="1" applyFont="1" applyFill="1" applyBorder="1" applyAlignment="1">
      <x:alignment wrapText="1"/>
    </x:xf>
    <x:xf numFmtId="0" fontId="11"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4" xfId="0" applyNumberFormat="1" applyFont="1" applyFill="1" applyBorder="1" applyAlignment="1">
      <x:alignment wrapText="1"/>
    </x:xf>
    <x:xf numFmtId="0" fontId="26" fillId="0" borderId="1" xfId="0" applyNumberFormat="1" applyFont="1" applyFill="1" applyBorder="1" applyAlignment="1">
      <x:alignment horizontal="center" vertical="center" wrapText="1"/>
    </x:xf>
    <x:xf numFmtId="0" fontId="26" fillId="0" borderId="1" xfId="0" applyNumberFormat="1" applyFont="1" applyFill="1" applyBorder="1" applyAlignment="1">
      <x:alignment horizontal="left" vertical="top" wrapText="1"/>
    </x:xf>
    <x:xf numFmtId="0" fontId="20" fillId="8" borderId="4" xfId="0" applyNumberFormat="1" applyFont="1" applyFill="1" applyBorder="1" applyAlignment="1">
      <x:alignment horizontal="left" vertical="top" wrapText="1"/>
    </x:xf>
    <x:xf numFmtId="0" fontId="20" fillId="8" borderId="4" xfId="0" applyNumberFormat="1" applyFont="1" applyFill="1" applyBorder="1" applyAlignment="1">
      <x:alignment wrapText="1"/>
    </x:xf>
    <x:xf numFmtId="0" fontId="26" fillId="0" borderId="0" xfId="0" applyNumberFormat="1" applyFont="1" applyFill="1" applyBorder="1"/>
    <x:xf numFmtId="0" fontId="26" fillId="0" borderId="0" xfId="0" applyNumberFormat="1" applyFont="1" applyFill="1" applyBorder="1" applyAlignment="1">
      <x:alignment wrapText="1"/>
    </x:xf>
    <x:xf numFmtId="0" fontId="26" fillId="0" borderId="5" xfId="0" applyNumberFormat="1" applyFont="1" applyFill="1" applyBorder="1" applyAlignment="1">
      <x:alignment horizontal="center" vertical="center" wrapText="1"/>
    </x:xf>
    <x:xf numFmtId="0" fontId="26" fillId="0" borderId="5" xfId="0" applyNumberFormat="1" applyFont="1" applyFill="1" applyBorder="1" applyAlignment="1">
      <x:alignment horizontal="left" vertical="top" wrapText="1"/>
    </x:xf>
    <x:xf numFmtId="0" fontId="20" fillId="8" borderId="5" xfId="0" applyNumberFormat="1" applyFont="1" applyFill="1" applyBorder="1" applyAlignment="1">
      <x:alignment horizontal="left" vertical="top" wrapText="1"/>
    </x:xf>
    <x:xf numFmtId="0" fontId="20" fillId="8" borderId="5" xfId="0" applyNumberFormat="1" applyFont="1" applyFill="1" applyBorder="1" applyAlignment="1">
      <x:alignment wrapText="1"/>
    </x:xf>
    <x:xf numFmtId="0" fontId="26" fillId="0" borderId="5" xfId="0" applyNumberFormat="1" applyFont="1" applyFill="1" applyBorder="1" applyAlignment="1">
      <x:alignment wrapText="1"/>
    </x:xf>
    <x:xf numFmtId="0" fontId="6" fillId="0" borderId="0" xfId="0" applyNumberFormat="1" applyFont="1" applyFill="1" applyBorder="1" applyAlignment="1">
      <x:alignment horizontal="center" vertical="center" wrapText="1"/>
    </x:xf>
  </x:cellXfs>
  <x:cellStyles count="1">
    <x:cellStyle name="Bình thường" xfId="0"/>
  </x:cellStyles>
</x:styleSheet>
</file>

<file path=xl/_rels/workbook.xml.rels>&#65279;<?xml version="1.0" encoding="utf-8"?><Relationships xmlns="http://schemas.openxmlformats.org/package/2006/relationships"><Relationship Type="http://schemas.openxmlformats.org/officeDocument/2006/relationships/styles" Target="/xl/styles.xml" Id="R6cb024e388964a23" /><Relationship Type="http://schemas.openxmlformats.org/officeDocument/2006/relationships/theme" Target="/xl/theme/theme1.xml" Id="R31ac0c0029914e8a" /><Relationship Type="http://schemas.openxmlformats.org/officeDocument/2006/relationships/sharedStrings" Target="/xl/sharedStrings.xml" Id="R96319b837b434069" /><Relationship Type="http://schemas.openxmlformats.org/officeDocument/2006/relationships/worksheet" Target="/xl/worksheets/sheet1.xml" Id="R8f92273e76f247f6" /><Relationship Type="http://schemas.openxmlformats.org/officeDocument/2006/relationships/worksheet" Target="/xl/worksheets/sheet2.xml" Id="R7e1cdb5675e14a31" /><Relationship Type="http://schemas.openxmlformats.org/officeDocument/2006/relationships/worksheet" Target="/xl/worksheets/sheet3.xml" Id="R733136bb848a45f4" /><Relationship Type="http://schemas.openxmlformats.org/officeDocument/2006/relationships/worksheet" Target="/xl/worksheets/sheet4.xml" Id="R90f55fa397f64e7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3.800000190734863"/>
  <x:cols>
    <x:col min="1" max="1" width="28" hidden="0" customWidth="1"/>
    <x:col min="2" max="2" width="22" hidden="0" customWidth="1"/>
    <x:col min="3" max="3" width="52" hidden="0" customWidth="1"/>
    <x:col min="4" max="4" width="18" hidden="0" customWidth="1"/>
    <x:col min="5" max="6" width="20" customWidth="1"/>
    <x:col min="5" max="5" width="36" hidden="0" customWidth="1"/>
  </x:cols>
  <x:sheetData>
    <x:row r="1">
      <x:c r="A1" s="38" t="str">
        <x:v>AI AUDIT LOG - METADATA &amp; SUMMARY</x:v>
      </x:c>
      <x:c r="B1" s="40"/>
      <x:c r="C1" s="40"/>
      <x:c r="D1" s="40"/>
      <x:c r="E1" s="40"/>
      <x:c r="F1" s="28"/>
    </x:row>
    <x:row r="2">
      <x:c r="A2" s="95"/>
      <x:c r="B2" s="95"/>
      <x:c r="C2" s="95"/>
      <x:c r="D2" s="95"/>
      <x:c r="E2" s="95"/>
    </x:row>
    <x:row r="3" ht="18">
      <x:c r="A3" s="45" t="str">
        <x:v>STUDENT INFORMATION</x:v>
      </x:c>
      <x:c r="B3" s="46"/>
      <x:c r="C3" s="46"/>
      <x:c r="D3" s="46"/>
      <x:c r="E3" s="46"/>
    </x:row>
    <x:row r="4" ht="14.399999618530273">
      <x:c r="A4" s="80" t="str">
        <x:v>Student Name:</x:v>
      </x:c>
      <x:c r="B4" s="81"/>
      <x:c r="C4" s="81" t="str">
        <x:v>Tạ Nguyễn Anh Minh</x:v>
      </x:c>
      <x:c r="D4" s="81"/>
      <x:c r="E4" s="81"/>
    </x:row>
    <x:row r="5" ht="14.399999618530273">
      <x:c r="A5" s="80" t="str">
        <x:v>Student ID:</x:v>
      </x:c>
      <x:c r="B5" s="81"/>
      <x:c r="C5" s="81" t="str">
        <x:v>SE200416</x:v>
      </x:c>
      <x:c r="D5" s="81"/>
      <x:c r="E5" s="81"/>
    </x:row>
    <x:row r="6" ht="14.399999618530273">
      <x:c r="A6" s="80" t="str">
        <x:v>Course:</x:v>
      </x:c>
      <x:c r="B6" s="81"/>
      <x:c r="C6" s="81" t="str">
        <x:v>DAP391m</x:v>
      </x:c>
      <x:c r="D6" s="81"/>
      <x:c r="E6" s="81"/>
    </x:row>
    <x:row r="7" ht="14.399999618530273">
      <x:c r="A7" s="80" t="str">
        <x:v>Assignment:</x:v>
      </x:c>
      <x:c r="B7" s="81"/>
      <x:c r="C7" s="81" t="str">
        <x:v>Comparative US AQI Time Series Forecasting in California with Extreme-Event and Statistical Evaluation</x:v>
      </x:c>
      <x:c r="D7" s="81"/>
      <x:c r="E7" s="81"/>
    </x:row>
    <x:row r="8">
      <x:c r="A8" s="81" t="str">
        <x:v>Source basis:</x:v>
      </x:c>
      <x:c r="B8" s="81"/>
      <x:c r="C8" s="81" t="str">
        <x:v>Readable Codex chat sessions + pasted audit notes + verified repo artifacts. Weekly report was treated only as a secondary clue, not as authority.</x:v>
      </x:c>
      <x:c r="D8" s="81"/>
      <x:c r="E8" s="81"/>
    </x:row>
    <x:row r="9" ht="18">
      <x:c r="A9" s="80"/>
      <x:c r="B9" s="81"/>
      <x:c r="C9" s="81"/>
      <x:c r="D9" s="81"/>
      <x:c r="E9" s="81"/>
    </x:row>
    <x:row r="10" ht="14.399999618530273">
      <x:c r="A10" s="82" t="str">
        <x:v>AI USAGE SUMMARY</x:v>
      </x:c>
      <x:c r="B10" s="83"/>
      <x:c r="C10" s="83"/>
      <x:c r="D10" s="83"/>
      <x:c r="E10" s="83"/>
    </x:row>
    <x:row r="11" ht="14.399999618530273">
      <x:c r="A11" s="80" t="str">
        <x:v>Total Prompts Reviewed (Codex sessions):</x:v>
      </x:c>
      <x:c r="B11" s="81"/>
      <x:c r="C11" s="84" t="n">
        <x:v>125</x:v>
      </x:c>
      <x:c r="D11" s="81"/>
      <x:c r="E11" s="81" t="str">
        <x:v>Approximate unique project-related prompts found in readable session logs</x:v>
      </x:c>
    </x:row>
    <x:row r="12" ht="14.399999618530273">
      <x:c r="A12" s="80" t="str">
        <x:v>Core Prompts Logged:</x:v>
      </x:c>
      <x:c r="B12" s="81"/>
      <x:c r="C12" s="85" t="n">
        <x:v>18</x:v>
      </x:c>
      <x:c r="D12" s="81"/>
      <x:c r="E12" s="86" t="str">
        <x:v>DAP391m guideline target: 15-20</x:v>
      </x:c>
    </x:row>
    <x:row r="13" ht="14.399999618530273">
      <x:c r="A13" s="80" t="str">
        <x:v>Selection Ratio:</x:v>
      </x:c>
      <x:c r="B13" s="81"/>
      <x:c r="C13" s="87" t="n">
        <x:f>C12/C11</x:f>
        <x:v>0.144</x:v>
      </x:c>
      <x:c r="D13" s="81"/>
      <x:c r="E13" s="81" t="str">
        <x:v>Should be 10-20%</x:v>
      </x:c>
    </x:row>
    <x:row r="14">
      <x:c r="A14" s="81" t="str">
        <x:v>Hallucination / Error Cases Logged:</x:v>
      </x:c>
      <x:c r="B14" s="81"/>
      <x:c r="C14" s="85" t="n">
        <x:v>4</x:v>
      </x:c>
      <x:c r="D14" s="81"/>
      <x:c r="E14" s="81" t="str">
        <x:v>Guideline requires at least 3 cases</x:v>
      </x:c>
    </x:row>
    <x:row r="15" ht="18">
      <x:c r="A15" s="80"/>
      <x:c r="B15" s="81"/>
      <x:c r="C15" s="81"/>
      <x:c r="D15" s="81"/>
      <x:c r="E15" s="81"/>
    </x:row>
    <x:row r="16" ht="14.399999618530273">
      <x:c r="A16" s="88" t="str">
        <x:v>AI TOOLS USED</x:v>
      </x:c>
      <x:c r="B16" s="88"/>
      <x:c r="C16" s="88"/>
      <x:c r="D16" s="88"/>
      <x:c r="E16" s="81"/>
    </x:row>
    <x:row r="17">
      <x:c r="A17" s="89" t="str">
        <x:v>AI Tool</x:v>
      </x:c>
      <x:c r="B17" s="89" t="str">
        <x:v>Purpose</x:v>
      </x:c>
      <x:c r="C17" s="89" t="str">
        <x:v>Frequency</x:v>
      </x:c>
      <x:c r="D17" s="89" t="str">
        <x:v>Main Value</x:v>
      </x:c>
      <x:c r="E17" s="81"/>
    </x:row>
    <x:row r="18">
      <x:c r="A18" s="90" t="str">
        <x:v>OpenAI Codex Desktop</x:v>
      </x:c>
      <x:c r="B18" s="90" t="str">
        <x:v>Code editing, debugging, notebook/report rewriting, audit log reconstruction</x:v>
      </x:c>
      <x:c r="C18" s="90" t="str">
        <x:v>High</x:v>
      </x:c>
      <x:c r="D18" s="90" t="str">
        <x:v>Converted prompts into executable scripts, verified artifacts, and report wording</x:v>
      </x:c>
      <x:c r="E18" s="81"/>
    </x:row>
    <x:row r="19">
      <x:c r="A19" s="90" t="str">
        <x:v>Google Gemini</x:v>
      </x:c>
      <x:c r="B19" s="90" t="str">
        <x:v>Research phrasing, prompt drafting, methodology critique, and alternative experimental design suggestions</x:v>
      </x:c>
      <x:c r="C19" s="90" t="str">
        <x:v>Medium</x:v>
      </x:c>
      <x:c r="D19" s="90" t="str">
        <x:v>Helped explore wording and methodological alternatives, but all major claims were verified against project files</x:v>
      </x:c>
      <x:c r="E19" s="81"/>
    </x:row>
    <x:row r="20">
      <x:c r="A20" s="90" t="str">
        <x:v>Manual verification by student</x:v>
      </x:c>
      <x:c r="B20" s="90" t="str">
        <x:v>Metric checking, visual inspection, leakage review, final decision ownership</x:v>
      </x:c>
      <x:c r="C20" s="90" t="str">
        <x:v>High</x:v>
      </x:c>
      <x:c r="D20" s="90" t="str">
        <x:v>Caught mismatches, overclaims, map errors, and metric/source inconsistencies</x:v>
      </x:c>
      <x:c r="E20" s="81"/>
    </x:row>
    <x:row r="21">
      <x:c r="A21" s="81"/>
      <x:c r="B21" s="81"/>
      <x:c r="C21" s="81"/>
      <x:c r="D21" s="81"/>
      <x:c r="E21" s="81"/>
    </x:row>
    <x:row r="22" ht="18">
      <x:c r="A22" s="82" t="str">
        <x:v>CORE PROMPTS DISTRIBUTION</x:v>
      </x:c>
      <x:c r="B22" s="83"/>
      <x:c r="C22" s="83"/>
      <x:c r="D22" s="83"/>
      <x:c r="E22" s="83"/>
    </x:row>
    <x:row r="23" ht="14.399999618530273">
      <x:c r="A23" s="91" t="str">
        <x:v>Component</x:v>
      </x:c>
      <x:c r="B23" s="91" t="str">
        <x:v>Number of Prompts</x:v>
      </x:c>
      <x:c r="C23" s="91" t="str">
        <x:v>Required (Min)</x:v>
      </x:c>
      <x:c r="D23" s="92" t="str">
        <x:v>Status</x:v>
      </x:c>
      <x:c r="E23" s="81"/>
    </x:row>
    <x:row r="24" ht="27.600000381469727">
      <x:c r="A24" s="93" t="str">
        <x:v>Data Collection &amp; Integration</x:v>
      </x:c>
      <x:c r="B24" s="94" t="n">
        <x:v>3</x:v>
      </x:c>
      <x:c r="C24" s="94" t="str">
        <x:v>&gt;= 2</x:v>
      </x:c>
      <x:c r="D24" s="81" t="str">
        <x:v>PASS</x:v>
      </x:c>
      <x:c r="E24" s="81"/>
    </x:row>
    <x:row r="25" ht="27.600000381469727">
      <x:c r="A25" s="93" t="str">
        <x:v>EDA &amp; Visualization</x:v>
      </x:c>
      <x:c r="B25" s="94" t="n">
        <x:v>4</x:v>
      </x:c>
      <x:c r="C25" s="94" t="str">
        <x:v>&gt;= 3</x:v>
      </x:c>
      <x:c r="D25" s="81" t="str">
        <x:v>PASS</x:v>
      </x:c>
      <x:c r="E25" s="81"/>
    </x:row>
    <x:row r="26" ht="27.600000381469727">
      <x:c r="A26" s="93" t="str">
        <x:v>Feature Engineering &amp; Leakage Control</x:v>
      </x:c>
      <x:c r="B26" s="94" t="n">
        <x:v>5</x:v>
      </x:c>
      <x:c r="C26" s="94" t="str">
        <x:v>&gt;= 3</x:v>
      </x:c>
      <x:c r="D26" s="81" t="str">
        <x:v>PASS</x:v>
      </x:c>
      <x:c r="E26" s="81"/>
    </x:row>
    <x:row r="27" ht="27.600000381469727">
      <x:c r="A27" s="93" t="str">
        <x:v>Modeling &amp; Evaluation</x:v>
      </x:c>
      <x:c r="B27" s="94" t="n">
        <x:v>4</x:v>
      </x:c>
      <x:c r="C27" s="94" t="str">
        <x:v>&gt;= 4</x:v>
      </x:c>
      <x:c r="D27" s="81" t="str">
        <x:v>PASS</x:v>
      </x:c>
      <x:c r="E27" s="81"/>
    </x:row>
    <x:row r="28" ht="27.600000381469727">
      <x:c r="A28" s="93" t="str">
        <x:v>Reporting, Paper Alignment &amp; Verification</x:v>
      </x:c>
      <x:c r="B28" s="94" t="n">
        <x:v>2</x:v>
      </x:c>
      <x:c r="C28" s="94" t="str">
        <x:v>&gt;= 2</x:v>
      </x:c>
      <x:c r="D28" s="81" t="str">
        <x:v>PASS</x:v>
      </x:c>
      <x:c r="E28" s="81"/>
    </x:row>
    <x:row r="29">
      <x:c r="A29" s="96"/>
      <x:c r="B29" s="97"/>
      <x:c r="C29" s="98"/>
      <x:c r="D29" s="95"/>
      <x:c r="E29" s="95"/>
    </x:row>
    <x:row r="30">
      <x:c r="A30" s="99"/>
      <x:c r="B30" s="99"/>
      <x:c r="C30" s="99"/>
      <x:c r="D30" s="95"/>
      <x:c r="E30" s="95"/>
    </x:row>
    <x:row r="31">
      <x:c r="A31" s="100"/>
      <x:c r="B31" s="100"/>
      <x:c r="C31" s="100"/>
      <x:c r="D31" s="95"/>
      <x:c r="E31" s="95"/>
    </x:row>
    <x:row r="32">
      <x:c r="A32" s="100"/>
      <x:c r="B32" s="100"/>
      <x:c r="C32" s="100"/>
      <x:c r="D32" s="95"/>
      <x:c r="E32" s="95"/>
    </x:row>
    <x:row r="33">
      <x:c r="A33" s="100"/>
      <x:c r="B33" s="100"/>
      <x:c r="C33" s="100"/>
      <x:c r="D33" s="95"/>
      <x:c r="E33" s="95"/>
    </x:row>
    <x:row r="34">
      <x:c r="A34" s="100"/>
      <x:c r="B34" s="100"/>
      <x:c r="C34" s="100"/>
      <x:c r="D34" s="95"/>
      <x:c r="E34" s="95"/>
    </x:row>
    <x:row r="35">
      <x:c r="A35" s="100"/>
      <x:c r="B35" s="100"/>
      <x:c r="C35" s="100"/>
      <x:c r="D35" s="95"/>
      <x:c r="E35" s="95"/>
    </x:row>
    <x:row r="36">
      <x:c r="A36" s="20"/>
      <x:c r="B36" s="20"/>
      <x:c r="C36" s="19"/>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3.800000190734863"/>
  <x:cols>
    <x:col min="1" max="1" width="8" hidden="0" customWidth="1"/>
    <x:col min="2" max="3" width="18" customWidth="1"/>
    <x:col min="4" max="4" width="42" hidden="0" customWidth="1"/>
    <x:col min="5" max="5" width="56" hidden="0" customWidth="1"/>
    <x:col min="6" max="6" width="44" hidden="0" customWidth="1"/>
    <x:col min="7" max="7" width="66" hidden="0" customWidth="1"/>
    <x:col min="8" max="8" width="42" hidden="0" customWidth="1"/>
    <x:col min="2" max="2" width="18" hidden="0" customWidth="1"/>
    <x:col min="3" max="3" width="28" hidden="0" customWidth="1"/>
  </x:cols>
  <x:sheetData>
    <x:row r="1" ht="34" customHeight="1">
      <x:c r="A1" s="38" t="str">
        <x:v>DETAILED AI AUDIT LOG</x:v>
      </x:c>
      <x:c r="B1" s="40"/>
      <x:c r="C1" s="40"/>
      <x:c r="D1" s="40"/>
      <x:c r="E1" s="40"/>
      <x:c r="F1" s="40"/>
      <x:c r="G1" s="40"/>
      <x:c r="H1" s="40"/>
    </x:row>
    <x:row r="2" ht="34" customHeight="1">
      <x:c r="A2" s="102" t="str">
        <x:v>Basis: readable Codex chat prompts + pasted audit notes + verified repo artifacts. Weekly report was not used as an authoritative source.</x:v>
      </x:c>
      <x:c r="B2" s="46"/>
      <x:c r="C2" s="46"/>
      <x:c r="D2" s="46"/>
      <x:c r="E2" s="46"/>
      <x:c r="F2" s="46"/>
      <x:c r="G2" s="46"/>
      <x:c r="H2" s="46"/>
    </x:row>
    <x:row r="3" ht="34" customHeight="1">
      <x:c r="A3" s="57" t="str">
        <x:v>Entry #</x:v>
      </x:c>
      <x:c r="B3" s="57" t="str">
        <x:v>Prompt Type</x:v>
      </x:c>
      <x:c r="C3" s="57" t="str">
        <x:v>Stage/Component</x:v>
      </x:c>
      <x:c r="D3" s="57" t="str">
        <x:v>Problem/Context</x:v>
      </x:c>
      <x:c r="E3" s="57" t="str">
        <x:v>Prompt to AI</x:v>
      </x:c>
      <x:c r="F3" s="57" t="str">
        <x:v>AI Response (Summary)</x:v>
      </x:c>
      <x:c r="G3" s="57" t="str">
        <x:v>Human Delta &amp; Reflection</x:v>
      </x:c>
      <x:c r="H3" s="57" t="str">
        <x:v>Evidence</x:v>
      </x:c>
    </x:row>
    <x:row r="4" ht="155" customHeight="1">
      <x:c r="A4" s="107" t="n">
        <x:v>1</x:v>
      </x:c>
      <x:c r="B4" s="108" t="str">
        <x:v>DECISION</x:v>
      </x:c>
      <x:c r="C4" s="108" t="str">
        <x:v>Data Collection &amp; Integration</x:v>
      </x:c>
      <x:c r="D4" s="108" t="str">
        <x:v>The original data collection script targeted a short New Jersey/Open-Meteo range, while the project needed a California AQI research dataset.</x:v>
      </x:c>
      <x:c r="E4" s="108" t="str">
        <x:v>Act as an expert Python Data Engineer. I have a script named collect_data.py that currently fetches air quality and weather data from the Open-Meteo API for New Jersey... update LATITUDE to 37.3394, LONGITUDE to -121.895, and loop 2015-2025.</x:v>
      </x:c>
      <x:c r="F4" s="108" t="str">
        <x:v>AI proposed refactoring the downloader around a California location, monthly requests, retry-friendly architecture, and a final processed CSV. It also kept the idea of separating raw monthly files from combined outputs.</x:v>
      </x:c>
      <x:c r="G4" s="108" t="str">
        <x:v>Critical Thinking: The AI solution was useful but too single-city at first. Contextualization: The paper later needed Fresno, Los Angeles, and San Jose, not only San Jose. Creative Synthesis: I kept monthly downloading but expanded the project into a multi-source California panel. Decision Ownership: I accepted the automation pattern but treated the downloaded data as only one component of the final EPA/Open-Meteo panel.</x:v>
      </x:c>
      <x:c r="H4" s="108" t="str">
        <x:v>scr/collect_data.py; data/raw/openmeteo_*; data/processed/openmeteo_california_hourly_clean.csv</x:v>
      </x:c>
    </x:row>
    <x:row r="5" ht="155" customHeight="1">
      <x:c r="A5" s="107" t="n">
        <x:v>2</x:v>
      </x:c>
      <x:c r="B5" s="108" t="str">
        <x:v>PROBLEM-SOLVING</x:v>
      </x:c>
      <x:c r="C5" s="108" t="str">
        <x:v>Data Collection &amp; Integration</x:v>
      </x:c>
      <x:c r="D5" s="108" t="str">
        <x:v>The Open-Meteo data had many gaps, making a single-source AQI dataset weak for a serious forecasting benchmark.</x:v>
      </x:c>
      <x:c r="E5" s="108" t="str">
        <x:v>Bối cảnh dự án: Tôi đang xây dựng benchmark dự báo US AQI theo giờ tại California. Dataset Open-Meteo đã xử lý đang bị thiếu nhiều theo thời gian và theo trạm. Hãy phân tích chiến lược dữ liệu an toàn nhất: nên nội suy, loại bỏ hay kết hợp thêm nguồn khác? So sánh rủi ro của từng cách đối với một paper time-series không rò rỉ dữ liệu, và đề xuất hướng xử lý có thể kiểm chứng bằng báo cáo missingness/source.</x:v>
      </x:c>
      <x:c r="F5" s="108" t="str">
        <x:v>AI suggested checking missingness, separating true missingness from API coverage limits, and using another reliable source instead of blindly imputing all gaps.</x:v>
      </x:c>
      <x:c r="G5" s="108" t="str">
        <x:v>Critical Thinking: Filling all missing records would create artificial certainty. Contextualization: AQI forecasting needs source traceability because meteorology and pollutant observations do not have identical coverage. Creative Synthesis: I moved toward combining Open-Meteo supplemental records with EPA AQS station data. Decision Ownership: I preferred source harmonization over aggressive imputation.</x:v>
      </x:c>
      <x:c r="H5" s="108" t="str">
        <x:v>data/processed/openmeteo_california_missingness_report.csv; data/processed/epa_aqs_station_missingness_report.csv</x:v>
      </x:c>
    </x:row>
    <x:row r="6" ht="155" customHeight="1">
      <x:c r="A6" s="107" t="n">
        <x:v>3</x:v>
      </x:c>
      <x:c r="B6" s="108" t="str">
        <x:v>DECISION</x:v>
      </x:c>
      <x:c r="C6" s="108" t="str">
        <x:v>Data Collection &amp; Integration</x:v>
      </x:c>
      <x:c r="D6" s="108" t="str">
        <x:v>After finding two complementary datasets, the key decision was whether to merge them and how to preserve provenance.</x:v>
      </x:c>
      <x:c r="E6" s="108" t="str">
        <x:v>Tôi có hai dataset đã clean: Open-Meteo California hourly và EPA/processed AQI station. Tôi muốn gộp để bù thiếu dữ liệu nhưng không muốn tạo continuity giả hoặc che giấu khác biệt nguồn dữ liệu. Hãy đề xuất chiến lược merge gồm khóa nối, xử lý duplicate, giữ station/source label, báo cáo missingness sau merge, và evidence cần tạo để chứng minh merge hợp lý.</x:v>
      </x:c>
      <x:c r="F6" s="108" t="str">
        <x:v>AI recommended schema alignment, source labels, station identifiers, duplicate handling, and a single model-ready panel.</x:v>
      </x:c>
      <x:c r="G6" s="108" t="str">
        <x:v>Critical Thinking: A merge can hide source heterogeneity if source labels are removed. Contextualization: EPA and Open-Meteo have different collection mechanisms and station availability. Creative Synthesis: I kept source/station fields and created harmonized model-ready data rather than a black-box combined CSV. Decision Ownership: I accepted the merge only with provenance columns preserved.</x:v>
      </x:c>
      <x:c r="H6" s="108" t="str">
        <x:v>scr/combine_aqi_datasets.py; data/processed/california_aqi_merged_panel.csv; main.tex dataset section</x:v>
      </x:c>
    </x:row>
    <x:row r="7" ht="155" customHeight="1">
      <x:c r="A7" s="109" t="n">
        <x:v>4</x:v>
      </x:c>
      <x:c r="B7" s="90" t="str">
        <x:v>DECISION</x:v>
      </x:c>
      <x:c r="C7" s="90" t="str">
        <x:v>EDA &amp; Visualization</x:v>
      </x:c>
      <x:c r="D7" s="90" t="str">
        <x:v>The EDA needed to support a paper, not just show generic plots.</x:v>
      </x:c>
      <x:c r="E7" s="90" t="str">
        <x:v>You are a Senior Data Scientist... generate a COMPLETE and EXECUTABLE Jupyter Notebook named Data Analysis with Python.ipynb... Include Project Introduction, Dataset Loading, Data Quality, Missing Values, Statistics, Correlation, Time-Series, Seasonal, Extreme AQI Event Analysis...</x:v>
      </x:c>
      <x:c r="F7" s="90" t="str">
        <x:v>AI produced a broad EDA plan with data quality, descriptive statistics, correlation, time-series, seasonal, and extreme-event sections.</x:v>
      </x:c>
      <x:c r="G7" s="90" t="str">
        <x:v>Critical Thinking: The AI outline was complete but generic. Contextualization: The actual paper required California AQI, station/source structure, 2020/2025 timing, and model-ready variables. Creative Synthesis: I reused the structure but grounded it in scripts and generated plots from the real dataset. Decision Ownership: I kept only sections that produce evidence for the paper.</x:v>
      </x:c>
      <x:c r="H7" s="90" t="str">
        <x:v>scr/eda_california_air_quality.py; notebook/Data Analysis with Python.ipynb; data/plots/eda/*.png</x:v>
      </x:c>
    </x:row>
    <x:row r="8" ht="155" customHeight="1">
      <x:c r="A8" s="109" t="n">
        <x:v>5</x:v>
      </x:c>
      <x:c r="B8" s="90" t="str">
        <x:v>VERIFICATION</x:v>
      </x:c>
      <x:c r="C8" s="90" t="str">
        <x:v>EDA &amp; Visualization</x:v>
      </x:c>
      <x:c r="D8" s="90" t="str">
        <x:v>The EDA needed a specific extreme-event view instead of only global descriptive statistics.</x:v>
      </x:c>
      <x:c r="E8" s="90" t="str">
        <x:v>Tôi muốn thêm phần phân tích Extreme AQI Events cho `california_aqi_model_ready.csv`. Hãy đóng vai Climate Data Scientist: xác định ngưỡng khách quan như percentile 99 của `target_aqi`, thống kê số giờ extreme theo năm/tháng, trực quan hóa clustering theo thời gian, và ghi rõ điều gì được hoặc không được kết luận nếu chưa có nhãn fire/smoke bên ngoài.</x:v>
      </x:c>
      <x:c r="F8" s="90" t="str">
        <x:v>AI suggested percentile-based event detection and year-month aggregation to inspect temporal clustering of high AQI episodes.</x:v>
      </x:c>
      <x:c r="G8" s="90" t="str">
        <x:v>Critical Thinking: AI's wording could imply wildfire causality too quickly. Contextualization: The project does not contain external fire perimeter or smoke plume labels. Creative Synthesis: I used extreme AQI as a diagnostic slice and avoided causal wildfire claims unless independently verified. Decision Ownership: I kept event analysis but described it as temporal clustering, not proof of fire causation.</x:v>
      </x:c>
      <x:c r="H8" s="90" t="str">
        <x:v>data/plots/eda/06_extreme_aqi_events_heatmap_year_month.png; main.tex limitations</x:v>
      </x:c>
    </x:row>
    <x:row r="9" ht="155" customHeight="1">
      <x:c r="A9" s="90" t="n">
        <x:v>6</x:v>
      </x:c>
      <x:c r="B9" s="90" t="str">
        <x:v>DECISION</x:v>
      </x:c>
      <x:c r="C9" s="90" t="str">
        <x:v>EDA &amp; Visualization</x:v>
      </x:c>
      <x:c r="D9" s="90" t="str">
        <x:v>The AQI timeline visualization initially risked being aesthetically nice but scientifically vague.</x:v>
      </x:c>
      <x:c r="E9" s="90" t="str">
        <x:v>Biểu đồ AQI time-series hiện đang dùng màu đường chung chung. Hãy thiết kế lại visualization để AQI được diễn giải theo các mốc sức khỏe chính thức của US AQI: Good, Moderate, USG, Unhealthy, Very Unhealthy, Hazardous. Giải thích vì sao cách này phù hợp hơn cho paper và đưa hướng code tránh hiểu nhầm màu sắc.</x:v>
      </x:c>
      <x:c r="F9" s="90" t="str">
        <x:v>AI helped convert the visualization from a generic single-color line into official US AQI category coloring.</x:v>
      </x:c>
      <x:c r="G9" s="90" t="str">
        <x:v>Critical Thinking: A generic red line does not tell readers what level is actually hazardous. Contextualization: Health-category colors are meaningful for AQI audiences. Creative Synthesis: I encoded official breakpoints directly into the visualization. Decision Ownership: I chose category-based color bands because they make the chart interpretable for non-technical readers.</x:v>
      </x:c>
      <x:c r="H9" s="90" t="str">
        <x:v>scr/data_visulization.py; data/plots/eda_aqi_category_timeline.png</x:v>
      </x:c>
    </x:row>
    <x:row r="10" ht="155" customHeight="1">
      <x:c r="A10" s="90" t="n">
        <x:v>7</x:v>
      </x:c>
      <x:c r="B10" s="90" t="str">
        <x:v>DECISION</x:v>
      </x:c>
      <x:c r="C10" s="90" t="str">
        <x:v>Modeling &amp; Evaluation</x:v>
      </x:c>
      <x:c r="D10" s="90" t="str">
        <x:v>The first modeling framework needed representative algorithms and leakage-safe preprocessing.</x:v>
      </x:c>
      <x:c r="E10" s="90" t="str">
        <x:v>I am building an advanced machine learning benchmarking framework... compare exactly 5 distinct machine learning and deep learning models... Linear Ridge, Random Forest, LightGBM, CatBoost, LSTM... Feature Scaling Safety: Fit the standard scaler only on the training split...</x:v>
      </x:c>
      <x:c r="F10" s="90" t="str">
        <x:v>AI generated a benchmark architecture covering linear, bagging, boosting, and sequential learning models with train-only scaling and validation logic.</x:v>
      </x:c>
      <x:c r="G10" s="90" t="str">
        <x:v>Critical Thinking: The initial model list was broad, but LSTM added dependency and sequence complexity. Contextualization: The dataset was tabular-panel oriented and later results favored boosting models. Creative Synthesis: I retained the benchmarking idea while later replacing LSTM with XGBoost. Decision Ownership: I treated this as the first baseline framework, not the final paper design.</x:v>
      </x:c>
      <x:c r="H10" s="90" t="str">
        <x:v>scr/train_combined_panel_models.py; data/processed/california_aqi_model_leaderboard.csv</x:v>
      </x:c>
    </x:row>
    <x:row r="11" ht="155" customHeight="1">
      <x:c r="A11" s="90" t="n">
        <x:v>8</x:v>
      </x:c>
      <x:c r="B11" s="90" t="str">
        <x:v>VERIFICATION</x:v>
      </x:c>
      <x:c r="C11" s="90" t="str">
        <x:v>Feature Engineering &amp; Leakage Control</x:v>
      </x:c>
      <x:c r="D11" s="90" t="str">
        <x:v>Very high R2 from lag/rolling features could be either valid autocorrelation or hidden target leakage.</x:v>
      </x:c>
      <x:c r="E11" s="90" t="str">
        <x:v>Các mô hình dùng lag/rolling feature đang có R2 rất cao. Trong bài toán dự báo AQI theo chuỗi thời gian, làm sao phân biệt tự tương quan hợp lệ với target leakage? Hãy liệt kê các kiểm tra cụ thể cho current PM2.5/PM10 proxy, tên feature có dấu hiệu tương lai, alignment của lag, leakage qua ranh giới split, và train-only preprocessing.</x:v>
      </x:c>
      <x:c r="F11" s="90" t="str">
        <x:v>AI warned that high R2 in time-series can be legitimate if recent lagged target dominates, but must be audited for current/future target leakage.</x:v>
      </x:c>
      <x:c r="G11" s="90" t="str">
        <x:v>Critical Thinking: I did not accept high metrics at face value. Contextualization: AQI has strong persistence, but target_aqi is PM2.5-derived, so pollutant proxy leakage is dangerous. Creative Synthesis: I separated valid lag history from current PM2.5/PM10 proxy features. Decision Ownership: I created a leakage audit before trusting leaderboard scores.</x:v>
      </x:c>
      <x:c r="H11" s="90" t="str">
        <x:v>scr/leakage_audit.py; data/processed/california_aqi_leakage_audit.csv</x:v>
      </x:c>
    </x:row>
    <x:row r="12" ht="155" customHeight="1">
      <x:c r="A12" s="90" t="n">
        <x:v>9</x:v>
      </x:c>
      <x:c r="B12" s="90" t="str">
        <x:v>VERIFICATION</x:v>
      </x:c>
      <x:c r="C12" s="90" t="str">
        <x:v>Feature Engineering &amp; Leakage Control</x:v>
      </x:c>
      <x:c r="D12" s="90" t="str">
        <x:v>The project needed a clean exogenous or long-horizon setup, not only easy nowcasting with recent AQI.</x:v>
      </x:c>
      <x:c r="E12" s="90" t="str">
        <x:v>Tôi cần cấu hình `use_target_history=False` / long-horizon thật sạch. Hãy audit thiết kế thí nghiệm cho bài toán dự báo AQI trước 24 giờ, trong đó local AQI từ t-1 đến t-23 bị ẩn. Feature nào được phép dùng, feature nào phải cấm, và cần boundary guard bao nhiêu để tránh rolling-window leakage qua ranh giới validation/test?</x:v>
      </x:c>
      <x:c r="F12" s="90" t="str">
        <x:v>AI pushed for stricter checks: no local AQI from recent hours, no future-like feature names, and train-only preprocessing.</x:v>
      </x:c>
      <x:c r="G12" s="90" t="str">
        <x:v>Critical Thinking: Simply setting a flag is not enough to prove cleanliness. Contextualization: Lag windows can cross split boundaries and silently leak validation/test information. Creative Synthesis: I redefined the setup as 24-hour-ahead forecasting and used boundary guards. Decision Ownership: I kept the stricter experimental framing because it is defensible in viva/review.</x:v>
      </x:c>
      <x:c r="H12" s="90" t="str">
        <x:v>data/processed/california_aqi_leakage_audit.csv: minimum_local_target_lag_hours=24 and recent_local_target_lag_features_under_24h=[]</x:v>
      </x:c>
    </x:row>
    <x:row r="13" ht="155" customHeight="1">
      <x:c r="A13" s="90" t="n">
        <x:v>10</x:v>
      </x:c>
      <x:c r="B13" s="90" t="str">
        <x:v>DECISION</x:v>
      </x:c>
      <x:c r="C13" s="90" t="str">
        <x:v>Research Design</x:v>
      </x:c>
      <x:c r="D13" s="90" t="str">
        <x:v>The old True/False target-history names were technically useful but hard to explain academically.</x:v>
      </x:c>
      <x:c r="E13" s="90" t="str">
        <x:v>Project đang dùng tên boolean `use_target_history=True/False`. Để đưa vào paper và bảo vệ viva, hãy giải thích mục đích khoa học của hai trường hợp này và đề xuất tên học thuật rõ hơn. Câu trả lời cần liên hệ từng cấu hình với research question, độ khó dự báo và cách diễn giải R2.</x:v>
      </x:c>
      <x:c r="F13" s="90" t="str">
        <x:v>AI explained that the two settings answer different research questions: near-term autoregressive prediction versus forecasting without recent local target history.</x:v>
      </x:c>
      <x:c r="G13" s="90" t="str">
        <x:v>Critical Thinking: The boolean names were too implementation-specific for a paper. Contextualization: Readers understand operational tasks better than code flags. Creative Synthesis: I renamed them into Short-term Autoregressive Nowcasting and Long-term Forecasting (24h-Ahead). Decision Ownership: I changed the terminology in reports and LaTeX to match the scientific question.</x:v>
      </x:c>
      <x:c r="H13" s="90" t="str">
        <x:v>main.tex methodology; notebook/Model Report.ipynb</x:v>
      </x:c>
    </x:row>
    <x:row r="14" ht="155" customHeight="1">
      <x:c r="A14" s="90" t="n">
        <x:v>11</x:v>
      </x:c>
      <x:c r="B14" s="90" t="str">
        <x:v>DECISION</x:v>
      </x:c>
      <x:c r="C14" s="90" t="str">
        <x:v>Feature Engineering &amp; Leakage Control</x:v>
      </x:c>
      <x:c r="D14" s="90" t="str">
        <x:v>After baseline modeling, the project needed improvement without downloading more data.</x:v>
      </x:c>
      <x:c r="E14" s="90" t="str">
        <x:v>Với dataset AQI California hiện có, tôi muốn cải thiện feature engineering mà không tải thêm dữ liệu ngoài. Hãy đề xuất các feature có ý nghĩa vật lý/thời gian có thể tạo từ meteorology, station và time columns: VPD, wind vector, cyclic time features, rolling/lag features và spatial lags giữa các thành phố. Đồng thời cảnh báo feature nào có nguy cơ leakage.</x:v>
      </x:c>
      <x:c r="F14" s="90" t="str">
        <x:v>AI suggested engineering Vapor Pressure Deficit (VPD) from temperature and humidity and reframing the long-term setup as a 24-hour forecast.</x:v>
      </x:c>
      <x:c r="G14" s="90" t="str">
        <x:v>Critical Thinking: VPD alone was not enough to justify a strong model-improvement claim. Contextualization: California AQI can be affected by dryness, wind, and delayed cross-city pollution movement. Creative Synthesis: I added VPD plus spatial AQI lags across Fresno, Los Angeles, and San Jose. Decision Ownership: I accepted VPD as a physical context feature but added spatial lags to better represent transport delay.</x:v>
      </x:c>
      <x:c r="H14" s="90" t="str">
        <x:v>main.tex VPD and spatial lag sections; data/processed/california_aqi_lightgbm_ablation.csv</x:v>
      </x:c>
    </x:row>
    <x:row r="15" ht="155" customHeight="1">
      <x:c r="A15" s="90" t="n">
        <x:v>12</x:v>
      </x:c>
      <x:c r="B15" s="90" t="str">
        <x:v>DECISION</x:v>
      </x:c>
      <x:c r="C15" s="90" t="str">
        <x:v>Modeling &amp; Evaluation</x:v>
      </x:c>
      <x:c r="D15" s="90" t="str">
        <x:v>The deep learning branch was costly and not aligned with the strongest final benchmark evidence.</x:v>
      </x:c>
      <x:c r="E15" s="90" t="str">
        <x:v>Nhánh LSTM đang tốn tài nguyên và không còn phù hợp với benchmark cuối cùng. Việc bỏ LSTM khỏi paper và thêm XGBoost vào danh sách đối sánh có hợp lý không? Hãy so sánh trade-off về phương pháp luận, khả năng tái lập, dependency, interpretability và tính công bằng khi dùng bộ mô hình Ridge, Random Forest, LightGBM, CatBoost, XGBoost.</x:v>
      </x:c>
      <x:c r="F15" s="90" t="str">
        <x:v>AI agreed that LSTM could be removed if the paper clearly motivates a tabular benchmark, and suggested adding XGBoost to complete the boosting comparison.</x:v>
      </x:c>
      <x:c r="G15" s="90" t="str">
        <x:v>Critical Thinking: I did not remove LSTM merely because it was inconvenient; I checked benchmark behavior and dependency cost. Contextualization: Ridge, RF, LightGBM, CatBoost, and XGBoost cover interpretable linear, bagging, and boosting families cleanly. Creative Synthesis: I replaced LSTM with XGBoost and synchronized reports/figures. Decision Ownership: I chose a tabular-regressor benchmark because it better fit the final dataset and reproducibility constraints.</x:v>
      </x:c>
      <x:c r="H15" s="90" t="str">
        <x:v>main.tex model list; data/processed/california_aqi_model_leaderboard.csv</x:v>
      </x:c>
    </x:row>
    <x:row r="16" ht="155" customHeight="1">
      <x:c r="A16" s="90" t="n">
        <x:v>13</x:v>
      </x:c>
      <x:c r="B16" s="90" t="str">
        <x:v>DECISION</x:v>
      </x:c>
      <x:c r="C16" s="90" t="str">
        <x:v>Feature Engineering &amp; Leakage Control</x:v>
      </x:c>
      <x:c r="D16" s="90" t="str">
        <x:v>The temporal split needed to reflect California climate context instead of random or generic chronological slicing.</x:v>
      </x:c>
      <x:c r="E16" s="90" t="str">
        <x:v>Tôi muốn split dữ liệu theo bối cảnh khí hậu thay vì chronological split thông thường. Dựa trên bối cảnh cháy rừng/extreme AQI ở California, năm 2024 nên để train, validation hay test? Hãy đề xuất thiết kế train/validation/test có thể bảo vệ học thuật: dùng 2020 làm extreme-context validation, 2025 làm independent test, và có boundary leakage guard.</x:v>
      </x:c>
      <x:c r="F16" s="90" t="str">
        <x:v>AI discussed climate context and suggested using 2024 in training rather than treating it as the only validation/test focus.</x:v>
      </x:c>
      <x:c r="G16" s="90" t="str">
        <x:v>Critical Thinking: A simple latest-year validation split would not stress the model on extreme historical conditions. Contextualization: 2020 is an extreme California wildfire-context year; 2025 is the independent final test year. Creative Synthesis: I used train years 2018, 2019, 2021-2024; validation year 2020; test year 2025. Decision Ownership: I adopted Climate-Context-Aware Splitting with boundary guards because it better tests robustness.</x:v>
      </x:c>
      <x:c r="H16" s="90" t="str">
        <x:v>data/processed/california_aqi_leakage_audit.csv; main.tex split section</x:v>
      </x:c>
    </x:row>
    <x:row r="17" ht="155" customHeight="1">
      <x:c r="A17" s="90" t="n">
        <x:v>14</x:v>
      </x:c>
      <x:c r="B17" s="90" t="str">
        <x:v>VERIFICATION</x:v>
      </x:c>
      <x:c r="C17" s="90" t="str">
        <x:v>Reporting, Paper Alignment &amp; Verification</x:v>
      </x:c>
      <x:c r="D17" s="90" t="str">
        <x:v>The Model Report notebook risked being a polished narrative disconnected from actual artifacts.</x:v>
      </x:c>
      <x:c r="E17" s="90" t="str">
        <x:v>Hãy viết lại `Model Report.ipynb`, nhưng đừng tạo một narrative đẹp mà lệch artifact thật. Trước tiên hãy kiểm tra notebook hiện có, các CSV kết quả, hình trong `data/plots` và các artifact bị thiếu. Sau đó đề xuất cấu trúc report có thể chạy lại, chỉ dùng evidence đang tồn tại và đánh dấu rõ hình/metric nào bị stale hoặc thiếu.</x:v>
      </x:c>
      <x:c r="F17" s="90" t="str">
        <x:v>Before rewriting, AI inspected the notebook and found it was short, artifact-driven, and referenced some figures that were not present in data/plots.</x:v>
      </x:c>
      <x:c r="G17" s="90" t="str">
        <x:v>Critical Thinking: I accepted the warning about artifact mismatch. Contextualization: A report notebook must be executable and consistent with generated CSV/figures. Creative Synthesis: I rewrote it around available artifacts and explicit checks. Decision Ownership: I chose correctness and reproducibility over prettier but stale narrative.</x:v>
      </x:c>
      <x:c r="H17" s="90" t="str">
        <x:v>notebook/Model Report.ipynb; Codex session 2026-06-19; data/plots</x:v>
      </x:c>
    </x:row>
    <x:row r="18" ht="155" customHeight="1">
      <x:c r="A18" s="90" t="n">
        <x:v>15</x:v>
      </x:c>
      <x:c r="B18" s="90" t="str">
        <x:v>DECISION</x:v>
      </x:c>
      <x:c r="C18" s="90" t="str">
        <x:v>Reporting, Paper Alignment &amp; Verification</x:v>
      </x:c>
      <x:c r="D18" s="90" t="str">
        <x:v>The notebook needed to be useful for readers, not only a result dump.</x:v>
      </x:c>
      <x:c r="E18" s="90" t="str">
        <x:v>Tôi muốn `Model Report.ipynb` giải thích quy trình từng bước cho người đọc, không chỉ in bảng kết quả. Hãy thiết kế cấu trúc Hybrid Report + Tutorial: vẫn đủ học thuật để nộp, nhưng có learning notes giải thích dataset loading, split strategy, feature engineering, metrics, scenario evaluation, leakage audit và interpretation.</x:v>
      </x:c>
      <x:c r="F18" s="90" t="str">
        <x:v>AI proposed several styles and I chose a detailed learning-oriented report, later converging to a Hybrid Report + Tutorial structure.</x:v>
      </x:c>
      <x:c r="G18" s="90" t="str">
        <x:v>Critical Thinking: A pure academic report would be concise but less helpful for explaining decisions in viva. Contextualization: DAP391m assessment values process, reasoning, and reproducibility. Creative Synthesis: I combined academic backbone with tutorial explanations around split, metrics, scenario evaluation, and leakage audit. Decision Ownership: I chose the hybrid style because it supports both grading and self-explanation.</x:v>
      </x:c>
      <x:c r="H18" s="90" t="str">
        <x:v>notebook/Model Report.ipynb; Codex session 2026-06-19</x:v>
      </x:c>
    </x:row>
    <x:row r="19" ht="155" customHeight="1">
      <x:c r="A19" s="90" t="n">
        <x:v>16</x:v>
      </x:c>
      <x:c r="B19" s="90" t="str">
        <x:v>VERIFICATION</x:v>
      </x:c>
      <x:c r="C19" s="90" t="str">
        <x:v>Feature Engineering &amp; Leakage Control</x:v>
      </x:c>
      <x:c r="D19" s="90" t="str">
        <x:v>The paper mentioned VPD, but EDA and ablation evidence had to support the wording.</x:v>
      </x:c>
      <x:c r="E19" s="90" t="str">
        <x:v>Paper có nhắc đến Vapor Pressure Deficit (VPD), nhưng phần EDA hiện chưa thể hiện rõ biến này. Làm sao để claim về VPD chắc hơn về mặt học thuật? Hãy đề xuất nên thêm VPD diagnostic plot, chạy ablation study, hay hạ wording xuống thành engineered dryness feature nếu chưa chứng minh được gain mạnh.</x:v>
      </x:c>
      <x:c r="F19" s="90" t="str">
        <x:v>AI recommended adding a mini VPD EDA diagnostic and lowering the claim to 'engineered dryness feature' unless ablation proves accuracy improvement.</x:v>
      </x:c>
      <x:c r="G19" s="90" t="str">
        <x:v>Critical Thinking: I caught that a confident VPD claim would overstate evidence. Contextualization: VPD is physically interpretable, but model gains must be measured. Creative Synthesis: I added VPD diagnostics and ran a LightGBM ablation. Decision Ownership: I rewrote the paper to say VPD is contextual, not a proven standalone accuracy driver.</x:v>
      </x:c>
      <x:c r="H19" s="90" t="str">
        <x:v>data/plots/eda/07_vpd_monthly_diagnostic.png; data/processed/california_aqi_lightgbm_ablation.csv; main.tex</x:v>
      </x:c>
    </x:row>
    <x:row r="20" ht="155" customHeight="1">
      <x:c r="A20" s="90" t="n">
        <x:v>17</x:v>
      </x:c>
      <x:c r="B20" s="90" t="str">
        <x:v>VERIFICATION</x:v>
      </x:c>
      <x:c r="C20" s="90" t="str">
        <x:v>Modeling &amp; Evaluation</x:v>
      </x:c>
      <x:c r="D20" s="90" t="str">
        <x:v>A review note exposed methodological gaps: possible typos, inconsistent model names, and missing ablation support for VPD/spatial lags.</x:v>
      </x:c>
      <x:c r="E20" s="90" t="str">
        <x:v>Một nhận xét kiểu reviewer chỉ ra paper còn lỗi chính tả, tên mô hình chưa nhất quán, và điểm yếu phương pháp luận: VPD/Spatial Lags được gọi là đóng góp cốt lõi nhưng chưa có ablation. Hãy xử lý đây như vấn đề validity chứ không chỉ là lỗi trình bày. Cần thí nghiệm và sửa wording thế nào trước khi nộp?</x:v>
      </x:c>
      <x:c r="F20" s="90" t="str">
        <x:v>AI treated this as a real review issue, not cosmetic feedback, and recommended ablation plus wording corrections.</x:v>
      </x:c>
      <x:c r="G20" s="90" t="str">
        <x:v>Critical Thinking: I accepted the critique because it attacked validity, not style. Contextualization: Reviewers can reject unsupported feature-contribution claims. Creative Synthesis: I ran LightGBM ablations and updated the Results/Discussion. Decision Ownership: I kept feature contributions conservative after the ablation showed R2 changes below 0.001 for VPD.</x:v>
      </x:c>
      <x:c r="H20" s="90" t="str">
        <x:v>data/processed/california_aqi_lightgbm_ablation.csv; main.tex Results and Threats to Validity</x:v>
      </x:c>
    </x:row>
    <x:row r="21" ht="155" customHeight="1">
      <x:c r="A21" s="90" t="n">
        <x:v>18</x:v>
      </x:c>
      <x:c r="B21" s="90" t="str">
        <x:v>VERIFICATION</x:v>
      </x:c>
      <x:c r="C21" s="90" t="str">
        <x:v>EDA &amp; Visualization</x:v>
      </x:c>
      <x:c r="D21" s="90" t="str">
        <x:v>The spatial map initially placed stations incorrectly, making the geography visually unreliable.</x:v>
      </x:c>
      <x:c r="E21" s="90" t="str">
        <x:v>Hình spatial coverage map hiện có vẻ sai vị trí địa lý. Hãy thiết kế workflow tạo `paper_station_map.png` đủ bảo vệ trong paper: dùng nền/ranh giới California đáng tin cậy, tọa độ GPS đúng cho Fresno, Los Angeles, San Jose, phân biệt EPA/Open-Meteo source, và hướng dẫn kiểm tra trực quan để chắc station marker không bị lệch.</x:v>
      </x:c>
      <x:c r="F21" s="90" t="str">
        <x:v>AI helped move from a manual/fragile map to a dedicated figure-generation script using proper coordinate handling and a clearer California reference map.</x:v>
      </x:c>
      <x:c r="G21" s="90" t="str">
        <x:v>Critical Thinking: I rejected the earlier map after visual inspection because a wrong station position would damage credibility. Contextualization: Spatial coverage is central to a California panel dataset. Creative Synthesis: I created a separate station-map workflow and checked marker placement. Decision Ownership: I treated visual correctness as evidence quality, not decoration.</x:v>
      </x:c>
      <x:c r="H21" s="90" t="str">
        <x:v>scr/generate_station_map.py; data/plots/paper_station_map.png</x:v>
      </x:c>
    </x:row>
  </x:sheetData>
  <x:mergeCells>
    <x:mergeCell ref="A2:H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3.800000190734863"/>
  <x:cols>
    <x:col min="1" max="1" width="16" hidden="0" customWidth="1"/>
    <x:col min="2" max="2" width="28" hidden="0" customWidth="1"/>
    <x:col min="3" max="6" width="30" customWidth="1"/>
    <x:col min="3" max="3" width="44" hidden="0" customWidth="1"/>
    <x:col min="4" max="4" width="44" hidden="0" customWidth="1"/>
    <x:col min="5" max="5" width="44" hidden="0" customWidth="1"/>
    <x:col min="6" max="6" width="52" hidden="0" customWidth="1"/>
  </x:cols>
  <x:sheetData>
    <x:row r="1">
      <x:c r="A1" s="38" t="str">
        <x:v>HALLUCINATION / ERROR DETECTION LOG</x:v>
      </x:c>
      <x:c r="B1" s="40"/>
      <x:c r="C1" s="40"/>
      <x:c r="D1" s="40"/>
      <x:c r="E1" s="40"/>
      <x:c r="F1" s="40"/>
    </x:row>
    <x:row r="2">
      <x:c r="A2" s="112" t="str">
        <x:v>Includes AI hallucinations, overclaims, stale artifact risks, and logic errors caught by human verification.</x:v>
      </x:c>
      <x:c r="B2" s="46"/>
      <x:c r="C2" s="46"/>
      <x:c r="D2" s="46"/>
      <x:c r="E2" s="46"/>
      <x:c r="F2" s="46"/>
    </x:row>
    <x:row r="3" ht="40.04999923706055" customHeight="1">
      <x:c r="A3" s="57" t="str">
        <x:v>Entry # (from Sheet 2)</x:v>
      </x:c>
      <x:c r="B3" s="57" t="str">
        <x:v>Hallucination Type</x:v>
      </x:c>
      <x:c r="C3" s="57" t="str">
        <x:v>AI's Claim / Risk</x:v>
      </x:c>
      <x:c r="D3" s="57" t="str">
        <x:v>Reality Check</x:v>
      </x:c>
      <x:c r="E3" s="57" t="str">
        <x:v>How Detected</x:v>
      </x:c>
      <x:c r="F3" s="57" t="str">
        <x:v>Corrective Action</x:v>
      </x:c>
    </x:row>
    <x:row r="4" ht="120" customHeight="1">
      <x:c r="A4" s="90" t="str">
        <x:v>008</x:v>
      </x:c>
      <x:c r="B4" s="90" t="str">
        <x:v>Proxy Feature Leakage / Logic Error</x:v>
      </x:c>
      <x:c r="C4" s="90" t="str">
        <x:v>It is safe to keep current PM2.5/PM10-like pollutant proxies in the feature matrix because they are observed variables.</x:v>
      </x:c>
      <x:c r="D4" s="90" t="str">
        <x:v>target_aqi is PM2.5-derived; current PM2.5/PM10 can behave like answer keys for the target.</x:v>
      </x:c>
      <x:c r="E4" s="90" t="str">
        <x:v>High R2 looked suspicious, then scr/leakage_audit.py and feature-list checks showed proxy-risk fields must be excluded.</x:v>
      </x:c>
      <x:c r="F4" s="90" t="str">
        <x:v>Removed current pollutant proxy fields from model inputs; retained only valid historical lags and verified future_like_feature_names=[] and current_pollutant_proxy_features_present=[].</x:v>
      </x:c>
    </x:row>
    <x:row r="5" ht="120" customHeight="1">
      <x:c r="A5" s="90" t="str">
        <x:v>018</x:v>
      </x:c>
      <x:c r="B5" s="90" t="str">
        <x:v>Spatial Inconsistency / Visualization Error</x:v>
      </x:c>
      <x:c r="C5" s="90" t="str">
        <x:v>The first generated station map was acceptable as a paper spatial coverage figure.</x:v>
      </x:c>
      <x:c r="D5" s="90" t="str">
        <x:v>The map geometry/point placement was visually unreliable and could misplace San Jose relative to California geography.</x:v>
      </x:c>
      <x:c r="E5" s="90" t="str">
        <x:v>Manual visual inspection against California coastline/station expectations showed the map was not academically defensible.</x:v>
      </x:c>
      <x:c r="F5" s="90" t="str">
        <x:v>Rejected the fragile map, created scr/generate_station_map.py, and regenerated paper_station_map.png with checked coordinates.</x:v>
      </x:c>
    </x:row>
    <x:row r="6" ht="120" customHeight="1">
      <x:c r="A6" s="90" t="str">
        <x:v>016</x:v>
      </x:c>
      <x:c r="B6" s="90" t="str">
        <x:v>Overstatement / Unsupported Claim</x:v>
      </x:c>
      <x:c r="C6" s="90" t="str">
        <x:v>Adding VPD would strongly improve model performance.</x:v>
      </x:c>
      <x:c r="D6" s="90" t="str">
        <x:v>Ablation showed removing VPD changed R2 by less than 0.001 in both short-term and long-term LightGBM settings.</x:v>
      </x:c>
      <x:c r="E6" s="90" t="str">
        <x:v>Ran data/processed/california_aqi_lightgbm_ablation.csv and compared Full feature set vs Without VPD.</x:v>
      </x:c>
      <x:c r="F6" s="90" t="str">
        <x:v>Reworded VPD as an engineered dryness context feature, not a proven standalone accuracy-improvement driver.</x:v>
      </x:c>
    </x:row>
    <x:row r="7" ht="120" customHeight="1">
      <x:c r="A7" s="90" t="str">
        <x:v>014</x:v>
      </x:c>
      <x:c r="B7" s="90" t="str">
        <x:v>Artifact Fabrication / Stale Output Risk</x:v>
      </x:c>
      <x:c r="C7" s="90" t="str">
        <x:v>Notebook/report figures and metrics were ready to use as written.</x:v>
      </x:c>
      <x:c r="D7" s="90" t="str">
        <x:v>Some referenced figures were missing or stale, and earlier paper numbers risked being copied manually rather than generated from CSV.</x:v>
      </x:c>
      <x:c r="E7" s="90" t="str">
        <x:v>Codex inspection found missing plot references; the user also flagged metric contradictions between benchmark files and paper tables.</x:v>
      </x:c>
      <x:c r="F7" s="90" t="str">
        <x:v>Regenerated figures/CSVs, rewrote notebooks and LaTeX to source metrics from california_aqi_model_leaderboard.csv and related outputs.</x:v>
      </x:c>
    </x:row>
    <x:row r="8" ht="60" customHeight="1">
      <x:c r="A8" s="7"/>
      <x:c r="B8" s="7"/>
      <x:c r="C8" s="7"/>
      <x:c r="D8" s="7"/>
      <x:c r="E8" s="7"/>
      <x:c r="F8" s="7"/>
    </x:row>
    <x:row r="9" ht="60" customHeight="1">
      <x:c r="A9" s="7"/>
      <x:c r="B9" s="7"/>
      <x:c r="C9" s="7"/>
      <x:c r="D9" s="7"/>
      <x:c r="E9" s="7"/>
      <x:c r="F9" s="7"/>
    </x:row>
    <x:row r="10" ht="60" customHeight="1">
      <x:c r="A10" s="7"/>
      <x:c r="B10" s="7"/>
      <x:c r="C10" s="7"/>
      <x:c r="D10" s="7"/>
      <x:c r="E10" s="7"/>
      <x:c r="F10" s="7"/>
    </x:row>
    <x:row r="11" ht="60" customHeight="1">
      <x:c r="A11" s="7"/>
      <x:c r="B11" s="7"/>
      <x:c r="C11" s="7"/>
      <x:c r="D11" s="7"/>
      <x:c r="E11" s="7"/>
      <x:c r="F11" s="7"/>
    </x:row>
    <x:row r="12" ht="60" customHeight="1">
      <x:c r="A12" s="7"/>
      <x:c r="B12" s="7"/>
      <x:c r="C12" s="7"/>
      <x:c r="D12" s="7"/>
      <x:c r="E12" s="7"/>
      <x:c r="F12" s="7"/>
    </x:row>
    <x:row r="13" ht="60" customHeight="1">
      <x:c r="A13" s="7"/>
      <x:c r="B13" s="7"/>
      <x:c r="C13" s="7"/>
      <x:c r="D13" s="7"/>
      <x:c r="E13" s="7"/>
      <x:c r="F13" s="7"/>
    </x:row>
    <x:row r="14" ht="60" customHeight="1">
      <x:c r="A14" s="7"/>
      <x:c r="B14" s="7"/>
      <x:c r="C14" s="7"/>
      <x:c r="D14" s="7"/>
      <x:c r="E14" s="7"/>
      <x:c r="F14" s="7"/>
    </x:row>
    <x:row r="15" ht="60" customHeight="1">
      <x:c r="A15" s="7"/>
      <x:c r="B15" s="7"/>
      <x:c r="C15" s="7"/>
      <x:c r="D15" s="7"/>
      <x:c r="E15" s="7"/>
      <x:c r="F15" s="7"/>
    </x:row>
    <x:row r="16" ht="60" customHeight="1">
      <x:c r="A16" s="7"/>
      <x:c r="B16" s="7"/>
      <x:c r="C16" s="7"/>
      <x:c r="D16" s="7"/>
      <x:c r="E16" s="7"/>
      <x:c r="F16" s="7"/>
    </x:row>
    <x:row r="17" ht="60" customHeight="1">
      <x:c r="A17" s="7"/>
      <x:c r="B17" s="7"/>
      <x:c r="C17" s="7"/>
      <x:c r="D17" s="7"/>
      <x:c r="E17" s="7"/>
      <x:c r="F17" s="7"/>
    </x:row>
    <x:row r="18" ht="60" customHeight="1">
      <x:c r="A18" s="7"/>
      <x:c r="B18" s="7"/>
      <x:c r="C18" s="7"/>
      <x:c r="D18" s="7"/>
      <x:c r="E18" s="7"/>
      <x:c r="F18" s="7"/>
    </x:row>
    <x:row r="19" ht="60" customHeight="1">
      <x:c r="A19" s="7"/>
      <x:c r="B19" s="7"/>
      <x:c r="C19" s="7"/>
      <x:c r="D19" s="7"/>
      <x:c r="E19" s="7"/>
      <x:c r="F19" s="7"/>
    </x:row>
    <x:row r="20" ht="60" customHeight="1">
      <x:c r="A20" s="7"/>
      <x:c r="B20" s="7"/>
      <x:c r="C20" s="7"/>
      <x:c r="D20" s="7"/>
      <x:c r="E20" s="7"/>
      <x:c r="F20" s="7"/>
    </x:row>
    <x:row r="21" ht="60" customHeight="1">
      <x:c r="A21" s="7"/>
      <x:c r="B21" s="7"/>
      <x:c r="C21" s="7"/>
      <x:c r="D21" s="7"/>
      <x:c r="E21" s="7"/>
      <x:c r="F21" s="7"/>
    </x:row>
    <x:row r="22" ht="60" customHeight="1">
      <x:c r="A22" s="7"/>
      <x:c r="B22" s="7"/>
      <x:c r="C22" s="7"/>
      <x:c r="D22" s="7"/>
      <x:c r="E22" s="7"/>
      <x:c r="F22" s="7"/>
    </x:row>
    <x:row r="23" ht="60" customHeight="1">
      <x:c r="A23" s="7"/>
      <x:c r="B23" s="7"/>
      <x:c r="C23" s="7"/>
      <x:c r="D23" s="7"/>
      <x:c r="E23" s="7"/>
      <x:c r="F23" s="7"/>
    </x:row>
    <x:row r="24" ht="60" customHeight="1">
      <x:c r="A24" s="7"/>
      <x:c r="B24" s="7"/>
      <x:c r="C24" s="7"/>
      <x:c r="D24" s="7"/>
      <x:c r="E24" s="7"/>
      <x:c r="F24" s="7"/>
    </x:row>
    <x:row r="30" ht="18">
      <x:c r="A30" s="1"/>
    </x:row>
    <x:row r="31" ht="14.399999618530273">
      <x:c r="A31" s="9"/>
      <x:c r="B31" s="9"/>
      <x:c r="C31" s="9"/>
    </x:row>
    <x:row r="32" ht="27.600000381469727">
      <x:c r="A32" s="7"/>
      <x:c r="B32" s="7"/>
      <x:c r="C32" s="7"/>
    </x:row>
    <x:row r="33" ht="27.600000381469727">
      <x:c r="A33" s="7"/>
      <x:c r="B33" s="7"/>
      <x:c r="C33" s="7"/>
    </x:row>
    <x:row r="34" ht="27.600000381469727">
      <x:c r="A34" s="7"/>
      <x:c r="B34" s="7"/>
      <x:c r="C34" s="7"/>
    </x:row>
    <x:row r="35" ht="27.600000381469727">
      <x:c r="A35" s="7"/>
      <x:c r="B35" s="7"/>
      <x:c r="C35" s="7"/>
    </x:row>
    <x:row r="36" ht="41.400001525878906">
      <x:c r="A36" s="7"/>
      <x:c r="B36" s="7"/>
      <x:c r="C36" s="7"/>
    </x:row>
  </x:sheetData>
  <x:mergeCells>
    <x:mergeCell ref="A2:F2"/>
    <x:mergeCell ref="A1:F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3.800000190734863"/>
  <x:cols>
    <x:col min="1" max="1" width="12" hidden="0" customWidth="1"/>
    <x:col min="2" max="2" width="58" hidden="0" customWidth="1"/>
    <x:col min="3" max="3" width="14" hidden="0" customWidth="1"/>
    <x:col min="4" max="4" width="58" hidden="0" customWidth="1"/>
  </x:cols>
  <x:sheetData>
    <x:row r="1">
      <x:c r="A1" s="38" t="str">
        <x:v>SELF-ASSESSMENT CHECKLIST (Trước khi nộp)</x:v>
      </x:c>
      <x:c r="B1" s="40"/>
      <x:c r="C1" s="40"/>
      <x:c r="D1" s="40"/>
    </x:row>
    <x:row r="2">
      <x:c r="A2" s="133" t="str">
        <x:v>Kiểm tra theo guideline: mỗi entry phải là core prompt, có phản biện và có evidence.</x:v>
      </x:c>
      <x:c r="B2" s="95"/>
      <x:c r="C2" s="95"/>
      <x:c r="D2" s="95"/>
    </x:row>
    <x:row r="3">
      <x:c r="A3" s="95"/>
      <x:c r="B3" s="95"/>
      <x:c r="C3" s="95"/>
      <x:c r="D3" s="95"/>
    </x:row>
    <x:row r="4" ht="18">
      <x:c r="A4" s="45" t="str">
        <x:v>A. KIỂM TRA CHẤT LƯỢNG MỖI ENTRY (Pass &gt;=4/5)</x:v>
      </x:c>
      <x:c r="B4" s="46"/>
      <x:c r="C4" s="46"/>
      <x:c r="D4" s="46"/>
    </x:row>
    <x:row r="5" ht="14.399999618530273">
      <x:c r="A5" s="57" t="str">
        <x:v>#</x:v>
      </x:c>
      <x:c r="B5" s="114" t="str">
        <x:v>Tiêu chí</x:v>
      </x:c>
      <x:c r="C5" s="57" t="str">
        <x:v>Pass?</x:v>
      </x:c>
      <x:c r="D5" s="114" t="str">
        <x:v>Note</x:v>
      </x:c>
    </x:row>
    <x:row r="6">
      <x:c r="A6" s="128" t="n">
        <x:v>1</x:v>
      </x:c>
      <x:c r="B6" s="129" t="str">
        <x:v>Prompt ảnh hưởng đến quyết định quan trọng trong project?</x:v>
      </x:c>
      <x:c r="C6" s="128" t="str">
        <x:v>YES</x:v>
      </x:c>
      <x:c r="D6" s="129" t="str">
        <x:v>18/18 entries là decision/problem-solving/verification core prompts.</x:v>
      </x:c>
    </x:row>
    <x:row r="7">
      <x:c r="A7" s="128" t="n">
        <x:v>2</x:v>
      </x:c>
      <x:c r="B7" s="129" t="str">
        <x:v>Nếu không có prompt này, project thay đổi về architecture/design/approach?</x:v>
      </x:c>
      <x:c r="C7" s="128" t="str">
        <x:v>YES</x:v>
      </x:c>
      <x:c r="D7" s="129" t="str">
        <x:v>Các entry thay đổi dataset, split, leakage guard, model set, VPD/spatial lags, report structure.</x:v>
      </x:c>
    </x:row>
    <x:row r="8">
      <x:c r="A8" s="128" t="n">
        <x:v>3</x:v>
      </x:c>
      <x:c r="B8" s="129" t="str">
        <x:v>Có thể giải thích lý do chọn/không chọn gợi ý của AI?</x:v>
      </x:c>
      <x:c r="C8" s="128" t="str">
        <x:v>YES</x:v>
      </x:c>
      <x:c r="D8" s="129" t="str">
        <x:v>Human Delta ghi rõ Critical Thinking, Contextualization, Creative Synthesis, Decision Ownership.</x:v>
      </x:c>
    </x:row>
    <x:row r="9">
      <x:c r="A9" s="128" t="n">
        <x:v>4</x:v>
      </x:c>
      <x:c r="B9" s="129" t="str">
        <x:v>Có minh chứng cụ thể (code, metrics, comparison)?</x:v>
      </x:c>
      <x:c r="C9" s="128" t="str">
        <x:v>YES</x:v>
      </x:c>
      <x:c r="D9" s="129" t="str">
        <x:v>Evidence column trỏ tới scripts, notebooks, CSV, plots, main.tex.</x:v>
      </x:c>
    </x:row>
    <x:row r="10">
      <x:c r="A10" s="128" t="n">
        <x:v>5</x:v>
      </x:c>
      <x:c r="B10" s="129" t="str">
        <x:v>Prompt phản ánh tư duy phản biện, không chỉ copy AI?</x:v>
      </x:c>
      <x:c r="C10" s="128" t="str">
        <x:v>YES</x:v>
      </x:c>
      <x:c r="D10" s="129" t="str">
        <x:v>Có 4 hallucination/error cases và nhiều quyết định hạ claim/kiểm chứng số liệu.</x:v>
      </x:c>
    </x:row>
    <x:row r="11">
      <x:c r="A11" s="81"/>
      <x:c r="B11" s="81"/>
      <x:c r="C11" s="81"/>
      <x:c r="D11" s="81"/>
    </x:row>
    <x:row r="12" ht="18">
      <x:c r="A12" s="82" t="str">
        <x:v>B. KIỂM TRA TỔNG THỂ LOG</x:v>
      </x:c>
      <x:c r="B12" s="83"/>
      <x:c r="C12" s="83"/>
      <x:c r="D12" s="83"/>
    </x:row>
    <x:row r="13" ht="14.399999618530273">
      <x:c r="A13" s="91" t="str">
        <x:v>#</x:v>
      </x:c>
      <x:c r="B13" s="130" t="str">
        <x:v>Tiêu chí</x:v>
      </x:c>
      <x:c r="C13" s="91" t="str">
        <x:v>Pass?</x:v>
      </x:c>
      <x:c r="D13" s="130" t="str">
        <x:v>Current Value</x:v>
      </x:c>
    </x:row>
    <x:row r="14">
      <x:c r="A14" s="128" t="n">
        <x:v>1</x:v>
      </x:c>
      <x:c r="B14" s="129" t="str">
        <x:v>Số lượng entries nằm trong range 15-20?</x:v>
      </x:c>
      <x:c r="C14" s="128" t="str">
        <x:v>YES</x:v>
      </x:c>
      <x:c r="D14" s="129" t="str">
        <x:v>18 core prompts</x:v>
      </x:c>
    </x:row>
    <x:row r="15">
      <x:c r="A15" s="128" t="n">
        <x:v>2</x:v>
      </x:c>
      <x:c r="B15" s="129" t="str">
        <x:v>Mỗi component có ít nhất 2-3 core prompt tương ứng?</x:v>
      </x:c>
      <x:c r="C15" s="128" t="str">
        <x:v>YES</x:v>
      </x:c>
      <x:c r="D15" s="129" t="str">
        <x:v>5 component chính đều có prompt; modeling có 4; feature/leakage có 5.</x:v>
      </x:c>
    </x:row>
    <x:row r="16">
      <x:c r="A16" s="128" t="n">
        <x:v>3</x:v>
      </x:c>
      <x:c r="B16" s="129" t="str">
        <x:v>Đã phát hiện &gt;=3 hallucination/error cases?</x:v>
      </x:c>
      <x:c r="C16" s="128" t="str">
        <x:v>YES</x:v>
      </x:c>
      <x:c r="D16" s="129" t="str">
        <x:v>4 cases logged</x:v>
      </x:c>
    </x:row>
    <x:row r="17">
      <x:c r="A17" s="128" t="n">
        <x:v>4</x:v>
      </x:c>
      <x:c r="B17" s="129" t="str">
        <x:v>Mỗi entry đều có Human Delta đầy đủ 4 câu hỏi?</x:v>
      </x:c>
      <x:c r="C17" s="128" t="str">
        <x:v>YES</x:v>
      </x:c>
      <x:c r="D17" s="129" t="str">
        <x:v>Each Human Delta includes Critical Thinking, Contextualization, Creative Synthesis, Decision Ownership.</x:v>
      </x:c>
    </x:row>
    <x:row r="18">
      <x:c r="A18" s="128" t="n">
        <x:v>5</x:v>
      </x:c>
      <x:c r="B18" s="129" t="str">
        <x:v>Có evidence cho &gt;=70% entries?</x:v>
      </x:c>
      <x:c r="C18" s="128" t="str">
        <x:v>YES</x:v>
      </x:c>
      <x:c r="D18" s="129" t="str">
        <x:v>18/18 entries have evidence.</x:v>
      </x:c>
    </x:row>
    <x:row r="19">
      <x:c r="A19" s="81"/>
      <x:c r="B19" s="81"/>
      <x:c r="C19" s="81"/>
      <x:c r="D19" s="81"/>
    </x:row>
    <x:row r="20" ht="15.600000381469727">
      <x:c r="A20" s="82" t="str">
        <x:v>C. CHUẨN BỊ CHO ORAL VIVAS (Q&amp;A)</x:v>
      </x:c>
      <x:c r="B20" s="83"/>
      <x:c r="C20" s="83"/>
      <x:c r="D20" s="83"/>
    </x:row>
    <x:row r="21" ht="14.399999618530273">
      <x:c r="A21" s="131" t="str">
        <x:v>Entry #</x:v>
      </x:c>
      <x:c r="B21" s="92" t="str">
        <x:v>Tôi có thể giải thích tại sao chọn approach này?</x:v>
      </x:c>
      <x:c r="C21" s="92" t="str">
        <x:v>Tôi có nhớ AI response?</x:v>
      </x:c>
      <x:c r="D21" s="92" t="str">
        <x:v>Tôi có evidence?</x:v>
      </x:c>
    </x:row>
    <x:row r="22" ht="14.399999618530273">
      <x:c r="A22" s="132" t="str">
        <x:v>008</x:v>
      </x:c>
      <x:c r="B22" s="81" t="str">
        <x:v>YES - leakage vs autocorrelation</x:v>
      </x:c>
      <x:c r="C22" s="81" t="str">
        <x:v>YES</x:v>
      </x:c>
      <x:c r="D22" s="81" t="str">
        <x:v>scr/leakage_audit.py; leakage CSV</x:v>
      </x:c>
    </x:row>
    <x:row r="23">
      <x:c r="A23" s="81" t="str">
        <x:v>012</x:v>
      </x:c>
      <x:c r="B23" s="81" t="str">
        <x:v>YES - LSTM removed, XGBoost added</x:v>
      </x:c>
      <x:c r="C23" s="81" t="str">
        <x:v>YES</x:v>
      </x:c>
      <x:c r="D23" s="81" t="str">
        <x:v>leaderboard CSV; main.tex</x:v>
      </x:c>
    </x:row>
    <x:row r="24">
      <x:c r="A24" s="81" t="str">
        <x:v>013</x:v>
      </x:c>
      <x:c r="B24" s="81" t="str">
        <x:v>YES - 2020 validation, 2025 test</x:v>
      </x:c>
      <x:c r="C24" s="81" t="str">
        <x:v>YES</x:v>
      </x:c>
      <x:c r="D24" s="81" t="str">
        <x:v>leakage audit split rows</x:v>
      </x:c>
    </x:row>
    <x:row r="25" ht="18">
      <x:c r="A25" s="80" t="str">
        <x:v>016</x:v>
      </x:c>
      <x:c r="B25" s="81" t="str">
        <x:v>YES - VPD claim lowered after ablation</x:v>
      </x:c>
      <x:c r="C25" s="81" t="str">
        <x:v>YES</x:v>
      </x:c>
      <x:c r="D25" s="81" t="str">
        <x:v>VPD plot; ablation CSV</x:v>
      </x:c>
    </x:row>
    <x:row r="26" ht="14.399999618530273">
      <x:c r="A26" s="86" t="str">
        <x:v>018</x:v>
      </x:c>
      <x:c r="B26" s="81" t="str">
        <x:v>YES - map corrected after visual audit</x:v>
      </x:c>
      <x:c r="C26" s="81" t="str">
        <x:v>YES</x:v>
      </x:c>
      <x:c r="D26" s="81" t="str">
        <x:v>generate_station_map.py; map PNG</x:v>
      </x:c>
    </x:row>
    <x:row r="27" ht="43.20000076293945">
      <x:c r="A27" s="16"/>
      <x:c r="B27" s="9"/>
      <x:c r="C27" s="9"/>
      <x:c r="D27" s="9"/>
    </x:row>
    <x:row r="28">
      <x:c r="A28" s="8"/>
      <x:c r="B28" s="7"/>
      <x:c r="C28" s="7"/>
      <x:c r="D28" s="7"/>
    </x:row>
    <x:row r="29">
      <x:c r="A29" s="8"/>
      <x:c r="B29" s="7"/>
      <x:c r="C29" s="7"/>
      <x:c r="D29" s="7"/>
    </x:row>
    <x:row r="30">
      <x:c r="A30" s="8"/>
      <x:c r="B30" s="7"/>
      <x:c r="C30" s="7"/>
      <x:c r="D30" s="7"/>
    </x:row>
  </x:sheetData>
  <x:mergeCells>
    <x:mergeCell ref="A1:D1"/>
    <x:mergeCell ref="A2:D2"/>
  </x:mergeCells>
  <x:pageMargins left="0.7" right="0.7" top="0.75" bottom="0.75" header="0.3" footer="0.3"/>
</x:worksheet>
</file>