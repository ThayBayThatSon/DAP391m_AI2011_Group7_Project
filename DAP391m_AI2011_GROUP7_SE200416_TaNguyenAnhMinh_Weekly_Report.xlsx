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PT\SU2026\DAP391m\Project\"/>
    </mc:Choice>
  </mc:AlternateContent>
  <xr:revisionPtr revIDLastSave="0" documentId="13_ncr:1_{D31CB476-7F29-400D-BA16-DFA9E4F04CFD}" xr6:coauthVersionLast="47" xr6:coauthVersionMax="47" xr10:uidLastSave="{00000000-0000-0000-0000-000000000000}"/>
  <bookViews>
    <workbookView xWindow="732" yWindow="732" windowWidth="17280" windowHeight="8880" firstSheet="1" activeTab="1" xr2:uid="{00000000-000D-0000-FFFF-FFFF00000000}"/>
  </bookViews>
  <sheets>
    <sheet name="Hướng Dẫn" sheetId="1" r:id="rId1"/>
    <sheet name="Thông Tin Nhóm" sheetId="2" r:id="rId2"/>
    <sheet name="Tuần 1" sheetId="3" r:id="rId3"/>
    <sheet name="Tuần 2" sheetId="4" r:id="rId4"/>
    <sheet name="Tuần 3" sheetId="5" r:id="rId5"/>
    <sheet name="Tuần 4" sheetId="6" r:id="rId6"/>
    <sheet name="Tuần 5" sheetId="7" r:id="rId7"/>
    <sheet name="Tuần 6" sheetId="8" r:id="rId8"/>
    <sheet name="Tuần 7" sheetId="9" r:id="rId9"/>
    <sheet name="Tuần 8" sheetId="10" r:id="rId10"/>
    <sheet name="Tuần 9" sheetId="11" r:id="rId11"/>
    <sheet name="Tổng Hợp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2" l="1"/>
  <c r="J17" i="12"/>
  <c r="J16" i="12"/>
  <c r="J12" i="12"/>
  <c r="J11" i="12"/>
  <c r="J10" i="12"/>
  <c r="J6" i="12"/>
  <c r="J5" i="12"/>
  <c r="J4" i="12"/>
</calcChain>
</file>

<file path=xl/sharedStrings.xml><?xml version="1.0" encoding="utf-8"?>
<sst xmlns="http://schemas.openxmlformats.org/spreadsheetml/2006/main" count="934" uniqueCount="419">
  <si>
    <t>THÔNG TIN NHÓM – MÔN DAP391m SUMMER 2026</t>
  </si>
  <si>
    <t>A. THÔNG TIN CHUNG DỰ ÁN</t>
  </si>
  <si>
    <t>Tên đề tài:</t>
  </si>
  <si>
    <t>Comparative US AQI Time Series Forecasting in California with Extreme-Event and Statistical Evaluation</t>
  </si>
  <si>
    <t>Mã nhóm:</t>
  </si>
  <si>
    <t>Group1</t>
  </si>
  <si>
    <t>Số lượng thành viên:</t>
  </si>
  <si>
    <t>Giảng viên hướng dẫn:</t>
  </si>
  <si>
    <t>Lê Võ Minh Thư</t>
  </si>
  <si>
    <t>Dataset sử dụng:</t>
  </si>
  <si>
    <t>California hourly US AQI + pollutant + meteorological dataset from Open-Meteo / processed custom dataset</t>
  </si>
  <si>
    <t>Link dataset:</t>
  </si>
  <si>
    <t>Link repo / Google Drive:</t>
  </si>
  <si>
    <t>C:\FPT\SU2026\DAP391m\Project</t>
  </si>
  <si>
    <t>Link Overleaf</t>
  </si>
  <si>
    <t>To be updated when final LaTeX/Overleaf project is created</t>
  </si>
  <si>
    <t>Tuần bắt đầu:</t>
  </si>
  <si>
    <t>B. DANH SÁCH THÀNH VIÊN</t>
  </si>
  <si>
    <t>STT</t>
  </si>
  <si>
    <t>Họ và Tên</t>
  </si>
  <si>
    <t>MSSV</t>
  </si>
  <si>
    <t>Email FPT</t>
  </si>
  <si>
    <t>Số điện thoại</t>
  </si>
  <si>
    <t>Ghi chú</t>
  </si>
  <si>
    <t>Tạ Nguyễn Anh Minh</t>
  </si>
  <si>
    <t>SE200416</t>
  </si>
  <si>
    <t>Core member</t>
  </si>
  <si>
    <t>Trịnh Quốc Sang</t>
  </si>
  <si>
    <t>SE194517</t>
  </si>
  <si>
    <t>C. 3 RESEARCH QUESTIONS CỦA NHÓM</t>
  </si>
  <si>
    <t>Research Question (đầy đủ, rõ ràng)</t>
  </si>
  <si>
    <t>Phương pháp tiếp cận dự kiến</t>
  </si>
  <si>
    <t>Dataset / Mô hình liên quan</t>
  </si>
  <si>
    <t>Kết quả mong đợi</t>
  </si>
  <si>
    <t>Trạng thái</t>
  </si>
  <si>
    <t>How accurately can California hourly US AQI be forecast under a strict non-leakage chronological time-series protocol?</t>
  </si>
  <si>
    <t>Use chronological train/validation/test splits, safe padding, train-only scaling, and evaluate MAE, RMSE, R2.</t>
  </si>
  <si>
    <t>openmeteo_cali_hourly.csv; Ridge, Random Forest, LightGBM, CatBoost, LSTM-24h</t>
  </si>
  <si>
    <t>Reliable benchmark leaderboard without temporal leakage.</t>
  </si>
  <si>
    <t>Completed to Week 4</t>
  </si>
  <si>
    <t>How does historical AQI information affect forecasting performance compared with purely meteorological inputs?</t>
  </si>
  <si>
    <t>Run dual configurations use_target_history=True and use_target_history=False as an ablation study.</t>
  </si>
  <si>
    <t>AQI lag/rolling features; meteorological and cyclic features; wildfire cross-features</t>
  </si>
  <si>
    <t>Quantify the performance gap between autoregressive and exogenous-only forecasting.</t>
  </si>
  <si>
    <t>How do forecasting models behave during extreme AQI / wildfire-context scenarios such as the Curry Fire period?</t>
  </si>
  <si>
    <t>Evaluate model predictions by scenario: non-event baseline, seasonal wildfire window availability, Curry Fire May 2026.</t>
  </si>
  <si>
    <t>Scenario masks on test DatetimeIndex; MAE, RMSE, R2 by event window</t>
  </si>
  <si>
    <t>Extreme-event evaluation report showing model robustness beyond global metrics.</t>
  </si>
  <si>
    <t>D. PHÂN CÔNG CƠ BẢN THEO TUẦN</t>
  </si>
  <si>
    <t>Tuần</t>
  </si>
  <si>
    <t>Nội dung chính</t>
  </si>
  <si>
    <t>Thành viên chủ trì</t>
  </si>
  <si>
    <t>Hỗ trợ</t>
  </si>
  <si>
    <t>Deadline nộp nhóm</t>
  </si>
  <si>
    <t>Tuần 1</t>
  </si>
  <si>
    <t>Business understanding, AQI dataset selection, research questions, proposal outline</t>
  </si>
  <si>
    <t>Week 1</t>
  </si>
  <si>
    <t>Completed</t>
  </si>
  <si>
    <t>Tuần 2</t>
  </si>
  <si>
    <t>EDA, time-series analysis, AQI category visualization, missing/duplicate/statistical analysis</t>
  </si>
  <si>
    <t>Week 2</t>
  </si>
  <si>
    <t>Tuần 3</t>
  </si>
  <si>
    <t>Data cleaning, feature engineering, safe padding, SQL/Python analysis, leakage audit</t>
  </si>
  <si>
    <t>Week 3</t>
  </si>
  <si>
    <t>Tuần 4</t>
  </si>
  <si>
    <t>Build and compare 5 models; dual target-history benchmark; extreme-event evaluation; model report</t>
  </si>
  <si>
    <t>Week 4</t>
  </si>
  <si>
    <t>Tuần 5</t>
  </si>
  <si>
    <t>Integrate API/AI services if required; prepare LaTeX report draft and slide outline</t>
  </si>
  <si>
    <t>Research team</t>
  </si>
  <si>
    <t>Week 5</t>
  </si>
  <si>
    <t>Planned</t>
  </si>
  <si>
    <t>Tuần 6</t>
  </si>
  <si>
    <t>Develop AI-powered solution/dashboard concept; finalize audit log and reproducibility package</t>
  </si>
  <si>
    <t>Week 6</t>
  </si>
  <si>
    <t>Tuần 7</t>
  </si>
  <si>
    <t>Final polish: code, notebooks, paper, figures/tables, Q&amp;A preparation</t>
  </si>
  <si>
    <t>Week 7</t>
  </si>
  <si>
    <t>BÁO CÁO TIẾN ĐỘ HÀNG TUẦN – MÔN DAP391m (SUMMER 2026)</t>
  </si>
  <si>
    <t>AI &amp; Data Science with Python &amp; SQL  |  FPT University TP.HCM  |  Summer 2026</t>
  </si>
  <si>
    <t>A. MỤC TIÊU CỦA FILE BÁO CÁO NÀY</t>
  </si>
  <si>
    <t>1.</t>
  </si>
  <si>
    <t>Giúp nhóm theo dõi tiến độ từng thành viên qua mỗi tuần.</t>
  </si>
  <si>
    <t>2.</t>
  </si>
  <si>
    <t>Là bằng chứng kiểm tra quá trình làm việc thực sự (không phải giao nộp vào phút chót).</t>
  </si>
  <si>
    <t>3.</t>
  </si>
  <si>
    <t>Hỗ trợ giảng viên đánh giá On-going Assessment và AI Audit Log (30%).</t>
  </si>
  <si>
    <t>4.</t>
  </si>
  <si>
    <t>Tạo thói quen ghi chép, phản biện và chịu trách nhiệm với công việc.</t>
  </si>
  <si>
    <t>B. CẤU TRÚC FILE (CÁC SHEET)</t>
  </si>
  <si>
    <t>Tên Sheet</t>
  </si>
  <si>
    <t>Mô tả nội dung</t>
  </si>
  <si>
    <t>1</t>
  </si>
  <si>
    <t>Hướng Dẫn</t>
  </si>
  <si>
    <t>Sheet này – hướng dẫn đọc và sử dụng toàn bộ file.</t>
  </si>
  <si>
    <t>2</t>
  </si>
  <si>
    <t>Thông Tin Nhóm</t>
  </si>
  <si>
    <t>Điền thông tin chung: tên đề tài, thành viên, phân công cơ bản.</t>
  </si>
  <si>
    <t>3</t>
  </si>
  <si>
    <t>Chọn đề tài, xác định dataset, lập Project Plan và 3 Research Questions.</t>
  </si>
  <si>
    <t>4</t>
  </si>
  <si>
    <t>Data Visualization: EDA, biểu đồ nâng cao theo Research Questions.</t>
  </si>
  <si>
    <t>5</t>
  </si>
  <si>
    <t>Data Cleaning, Feature Engineering, tích hợp SQL.</t>
  </si>
  <si>
    <t>6</t>
  </si>
  <si>
    <t>Build Models: huấn luyện ≥ 5 mô hình, so sánh với baseline paper.</t>
  </si>
  <si>
    <t>7</t>
  </si>
  <si>
    <t>Tích hợp API/AI Services, viết draft LaTeX Springer.</t>
  </si>
  <si>
    <t>8</t>
  </si>
  <si>
    <t>Phát triển Application + AI-powered solution, hoàn thiện Audit Log lần 1.</t>
  </si>
  <si>
    <t>9</t>
  </si>
  <si>
    <t>Final polish: code, dashboard, paper, chuẩn bị Q&amp;A và bảo vệ.</t>
  </si>
  <si>
    <t>10</t>
  </si>
  <si>
    <t>Tổng Hợp</t>
  </si>
  <si>
    <t>Bảng tổng hợp tiến độ, điểm tự đánh giá và nhận xét của giảng viên.</t>
  </si>
  <si>
    <t>C. QUY TẮC ĐIỀN VÀ NỘP BÁO CÁO</t>
  </si>
  <si>
    <t>Quy tắc</t>
  </si>
  <si>
    <t>Chi tiết</t>
  </si>
  <si>
    <t>Thời gian điền</t>
  </si>
  <si>
    <t>Điền vào cuối mỗi tuần (thứ 6 hoặc thứ 7). KHÔNG để trống trước khi nộp lên LMS.</t>
  </si>
  <si>
    <t>Nguồn gốc thông tin</t>
  </si>
  <si>
    <t>Phần 'Mô tả công việc' phải cụ thể: tên file, tên mô hình, kết quả metric, tên paper. KHÔNG ghi chung chung như 'đã làm xong'.</t>
  </si>
  <si>
    <t>AI Audit Log</t>
  </si>
  <si>
    <t>Mỗi tuần ghi ít nhất 2–3 Core Prompt vào cột tương ứng. Cập nhật số lượng tích lũy.</t>
  </si>
  <si>
    <t>Phân công rõ ràng</t>
  </si>
  <si>
    <t>Mỗi hàng công việc phải có tên thành viên cụ thể – KHÔNG ghi 'cả nhóm' nếu không rõ ai làm gì.</t>
  </si>
  <si>
    <t>Tự đánh giá</t>
  </si>
  <si>
    <t>Điểm tự đánh giá (1–10): trung thực, có giải thích. Giảng viên sẽ đối chiếu với nội dung thực tế.</t>
  </si>
  <si>
    <t>Hallucination</t>
  </si>
  <si>
    <t>Ghi nhận mỗi trường hợp phát hiện AI sai vào ô 'Hallucination phát hiện' của từng tuần.</t>
  </si>
  <si>
    <t>Nộp lên LMS</t>
  </si>
  <si>
    <t>Nộp file này kèm AI Audit Log Template.xlsx khi có yêu cầu nộp On-going Assessment.</t>
  </si>
  <si>
    <t>Chúc nhóm hoàn thành thành công học kỳ Summer 2026!</t>
  </si>
  <si>
    <t>TUẦN 1 – BÁO CÁO TIẾN ĐỘ – MON DAP391m SU26</t>
  </si>
  <si>
    <t>Mục tiêu tuần này: Chọn đề tài AQI forecasting, xác định dataset, lập proposal ban đầu và 3 research questions.</t>
  </si>
  <si>
    <t>A. THÔNG TIN NHÓM VÀ TUẦN BÁO CÁO</t>
  </si>
  <si>
    <t>Tên nhóm / Mã nhóm:</t>
  </si>
  <si>
    <t>Thành viên tham gia tuần này:</t>
  </si>
  <si>
    <t>Tạ Nguyễn Anh Minh (SE200416); Trịnh Quốc Sang (SE194517)</t>
  </si>
  <si>
    <t>Thành viên vắng (nếu có):</t>
  </si>
  <si>
    <t>Không</t>
  </si>
  <si>
    <t>Tuần báo cáo:</t>
  </si>
  <si>
    <t>B. CÔNG VIỆC THỰC HIỆN TRONG TUẦN</t>
  </si>
  <si>
    <t>Mô tả công việc (cụ thể, có số liệu)</t>
  </si>
  <si>
    <t>Thành viên thực hiện</t>
  </si>
  <si>
    <t>Kết quả / Evidence</t>
  </si>
  <si>
    <t>Xác định bài toán nghiên cứu: dự báo US AQI theo chuỗi thời gian tại California, có đánh giá extreme-event.</t>
  </si>
  <si>
    <t>Hoàn thành</t>
  </si>
  <si>
    <t>Project_Proposal.md; Project_Proposal.pdf</t>
  </si>
  <si>
    <t>Đổi hướng từ template cũ sang AQI forecasting.</t>
  </si>
  <si>
    <t>Tổng hợp nguồn dữ liệu hourly AQI, pollutant và meteorological variables từ các file raw/processed.</t>
  </si>
  <si>
    <t>data/raw/*.csv; data/processed/openmeteo_cali_hourly.csv</t>
  </si>
  <si>
    <t>Dataset custom theo tháng.</t>
  </si>
  <si>
    <t>Định nghĩa 3 research questions: non-leakage forecasting, target-history ablation, wildfire scenario evaluation.</t>
  </si>
  <si>
    <t>Project_Proposal.md - Research Objectives/RQs</t>
  </si>
  <si>
    <t>RQ bám sát mục tiêu bài báo.</t>
  </si>
  <si>
    <t>Khảo sát paper nền về AQI/PM2.5 forecasting, LSTM, Random Forest, LightGBM, CatBoost và wildfire smoke.</t>
  </si>
  <si>
    <t>data/paper/*.pdf; Project_Proposal.md References</t>
  </si>
  <si>
    <t>Dùng làm nền tảng literature review.</t>
  </si>
  <si>
    <t>Thiết lập cấu trúc thư mục dự án: data, notebook, scr, plots, processed outputs.</t>
  </si>
  <si>
    <t>Chuẩn bị cho EDA và modeling.</t>
  </si>
  <si>
    <t>C. ĐẦU RA BẮT BUỘC CỦA TUẦN NÀY</t>
  </si>
  <si>
    <t>Đầu ra yêu cầu</t>
  </si>
  <si>
    <t>Đã hoàn thành?</t>
  </si>
  <si>
    <t>Link / Mô tả evidence</t>
  </si>
  <si>
    <t>Project proposal ban đầu có title, abstract, objectives, dataset, methods.</t>
  </si>
  <si>
    <t>Có</t>
  </si>
  <si>
    <t>Project_Proposal.md</t>
  </si>
  <si>
    <t>Dataset được xác định và lưu vào thư mục processed/raw.</t>
  </si>
  <si>
    <t>data/processed/openmeteo_cali_hourly.csv</t>
  </si>
  <si>
    <t>3 Research Questions được xác định.</t>
  </si>
  <si>
    <t>Thông Tin Nhóm - Research Questions</t>
  </si>
  <si>
    <t>Danh sách tài liệu tham khảo nền.</t>
  </si>
  <si>
    <t>Project_Proposal.md - References; data/paper</t>
  </si>
  <si>
    <t>AI Audit Log tuần 1.</t>
  </si>
  <si>
    <t>Sheet Tuần 1 - AI Audit Log</t>
  </si>
  <si>
    <t>D. AI AUDIT LOG – TỔNG HỢP TUẦN NÀY</t>
  </si>
  <si>
    <t>Core Prompt đã ghi (tóm tắt ngắn gọn)</t>
  </si>
  <si>
    <t>Loại Prompt</t>
  </si>
  <si>
    <t>Component / Stage</t>
  </si>
  <si>
    <t>Phát hiện Hallucination?</t>
  </si>
  <si>
    <t>Mô tả Hallucination / Kết quả kiểm chứng</t>
  </si>
  <si>
    <t>Nên chọn đề tài AQI forecasting hay PM2.5 forecasting cho paper DAP391m?</t>
  </si>
  <si>
    <t>DECISION</t>
  </si>
  <si>
    <t>Business Understanding</t>
  </si>
  <si>
    <t>Chọn US AQI vì có ý nghĩa sức khỏe rõ và phù hợp extreme-event evaluation.</t>
  </si>
  <si>
    <t>Dataset Open-Meteo có đủ biến pollutant và meteorological để dự báo AQI không?</t>
  </si>
  <si>
    <t>VERIFICATION</t>
  </si>
  <si>
    <t>Dataset Selection</t>
  </si>
  <si>
    <t>Kiểm tra file processed có us_aqi, PM2.5, PM10, ozone, temperature, humidity, wind, pressure.</t>
  </si>
  <si>
    <t>Research questions nào phù hợp với bài toán non-leakage time-series forecasting?</t>
  </si>
  <si>
    <t>Research Design</t>
  </si>
  <si>
    <t>Chốt 3 RQ: forecasting accuracy, target-history ablation, wildfire scenario behavior.</t>
  </si>
  <si>
    <t>Tổng số Core Prompt tuần này:</t>
  </si>
  <si>
    <t>Tổng Core Prompt tích lũy đến nay:</t>
  </si>
  <si>
    <t>Tổng Hallucination phát hiện tuần này:</t>
  </si>
  <si>
    <t>Tổng Hallucination tích lũy đến nay:</t>
  </si>
  <si>
    <t>E. TỰ ĐÁNH GIÁ CUỐI TUẦN</t>
  </si>
  <si>
    <t>Thành viên</t>
  </si>
  <si>
    <t>Điểm tự đánh giá (1–10)</t>
  </si>
  <si>
    <t>Lý do / Thành tích chính</t>
  </si>
  <si>
    <t>Khó khăn gặp phải</t>
  </si>
  <si>
    <t>Kế hoạch tuần sau</t>
  </si>
  <si>
    <t>Xác định đề tài, chuẩn bị proposal, kiểm tra dataset và research questions.</t>
  </si>
  <si>
    <t>Cần chuyển template cũ sang đúng chủ đề AQI.</t>
  </si>
  <si>
    <t>Tuần sau tập trung EDA và visualization.</t>
  </si>
  <si>
    <t>Hỗ trợ khảo sát paper, kiểm tra dữ liệu raw/processed và cấu trúc dự án.</t>
  </si>
  <si>
    <t>Cần chuẩn hóa hướng nghiên cứu để không lan man.</t>
  </si>
  <si>
    <t>Tuần sau xây notebook Data Analysis with Python.</t>
  </si>
  <si>
    <t>F. NHẬN XÉT &amp; ĐÁNH GIÁ CỦA GIẢNG VIÊN  (Giảng viên điền sau khi chấm)</t>
  </si>
  <si>
    <t>Nhận xét tổng thể:</t>
  </si>
  <si>
    <t>Điểm mạnh của nhóm:</t>
  </si>
  <si>
    <t>Điểm cần cải thiện:</t>
  </si>
  <si>
    <t>Điểm đánh giá GV (0–10):</t>
  </si>
  <si>
    <t>Yêu cầu bổ sung cho tuần sau:</t>
  </si>
  <si>
    <t>MILESTONE TUẦN 1: Project topic, dataset, proposal outline, and 3 research questions completed.</t>
  </si>
  <si>
    <t>TUẦN 2 – BÁO CÁO TIẾN ĐỘ – MON DAP391m SU26</t>
  </si>
  <si>
    <t>Mục tiêu tuần này: Thực hiện Data Analysis with Python, EDA, visualization nâng cao và phân tích thống kê/time-series.</t>
  </si>
  <si>
    <t>Xây dựng notebook EDA hoàn chỉnh gồm dataset loading, overview, quality assessment, missing values, duplicates.</t>
  </si>
  <si>
    <t>notebook/Data Analysis with Python.ipynb</t>
  </si>
  <si>
    <t>Notebook gồm 41 cells.</t>
  </si>
  <si>
    <t>Thực hiện descriptive statistics, univariate/bivariate analysis, correlation heatmap và pairplot.</t>
  </si>
  <si>
    <t>EDA notebook sections 6-9</t>
  </si>
  <si>
    <t>Phân tích AQI, PM2.5, PM10, Temperature, Humidity.</t>
  </si>
  <si>
    <t>Vẽ time-series plots, rolling 7-day/30-day statistics và seasonal analysis.</t>
  </si>
  <si>
    <t>EDA notebook sections 10-12; data/plots/*.png</t>
  </si>
  <si>
    <t>Hỗ trợ nhận diện trend và seasonality.</t>
  </si>
  <si>
    <t>Phân tích extreme AQI events theo top 5% và top 1%, event timeline và frequency by month/season.</t>
  </si>
  <si>
    <t>EDA notebook section 13</t>
  </si>
  <si>
    <t>Chuẩn bị cho extreme-event evaluation.</t>
  </si>
  <si>
    <t>Cập nhật data visualization script để đường AQI đổi màu theo mốc US AQI chính thức.</t>
  </si>
  <si>
    <t>scr/data_visulization.py; data/plots/aqi_visualization.png</t>
  </si>
  <si>
    <t>Dùng màu Good/Moderate/USG/Unhealthy/Very Unhealthy/Hazardous.</t>
  </si>
  <si>
    <t>Notebook Data Analysis with Python hoàn chỉnh.</t>
  </si>
  <si>
    <t>Biểu đồ AQI và PM2.5/time-series/correlation/seasonality.</t>
  </si>
  <si>
    <t>data/plots/*.png</t>
  </si>
  <si>
    <t>Extreme AQI event analysis.</t>
  </si>
  <si>
    <t>Top 5% / Top 1% trong EDA notebook</t>
  </si>
  <si>
    <t>AQI category visualization.</t>
  </si>
  <si>
    <t>scr/data_visulization.py</t>
  </si>
  <si>
    <t>AI Audit Log tuần 2.</t>
  </si>
  <si>
    <t>Sheet Tuần 2 - AI Audit Log</t>
  </si>
  <si>
    <t>EDA notebook nên có những section nào để đủ chuẩn academic machine learning paper?</t>
  </si>
  <si>
    <t>EDA Design</t>
  </si>
  <si>
    <t>Chốt 19 section: quality, missing, duplicates, stats, plots, stationarity, readiness.</t>
  </si>
  <si>
    <t>Có nên dùng Plotly ngoài matplotlib/seaborn cho AQI trend không?</t>
  </si>
  <si>
    <t>Visualization</t>
  </si>
  <si>
    <t>Dùng Plotly cho interactive AQI/PM2.5 trend và extreme-event visualization.</t>
  </si>
  <si>
    <t>Màu đường AQI nên theo tab:red hay theo official US AQI category?</t>
  </si>
  <si>
    <t>Đổi sang official US AQI color bands để biểu đồ có ý nghĩa sức khỏe.</t>
  </si>
  <si>
    <t>Xây dựng phần EDA, kiểm tra quality/missing/duplicates và stationarity.</t>
  </si>
  <si>
    <t>Một số tên cột pollutant có encoding ký tự đơn vị.</t>
  </si>
  <si>
    <t>Tuần sau hoàn thiện data cleaning, feature engineering và leakage-safe split.</t>
  </si>
  <si>
    <t>Hỗ trợ visualization, AQI category plot, seasonal/extreme-event analysis.</t>
  </si>
  <si>
    <t>Cần đảm bảo biểu đồ rõ và phù hợp paper.</t>
  </si>
  <si>
    <t>Tuần sau tập trung feature engineering và SQL/Python analysis.</t>
  </si>
  <si>
    <t>MILESTONE TUẦN 2: Academic EDA notebook and AQI visualization package completed.</t>
  </si>
  <si>
    <t>TUẦN 3 – BÁO CÁO TIẾN ĐỘ – MON DAP391m SU26</t>
  </si>
  <si>
    <t>Mục tiêu tuần này: Data cleaning, feature engineering, SQL/Python analysis, chronological split và leakage prevention.</t>
  </si>
  <si>
    <t>Hoàn thiện data_preparation.py: load/sort time, numeric conversion, feature extraction, filter/clean.</t>
  </si>
  <si>
    <t>scr/data_preparation.py</t>
  </si>
  <si>
    <t>Chuẩn hóa pipeline xử lý dữ liệu.</t>
  </si>
  <si>
    <t>Tạo temporal/cyclic features: hour_sin, hour_cos, month_sin, month_cos, is_weekend.</t>
  </si>
  <si>
    <t>Giảm discontinuity trong biến thời gian.</t>
  </si>
  <si>
    <t>Tạo wind vector transformation: wind_u, wind_v từ wind speed/direction.</t>
  </si>
  <si>
    <t>Phù hợp hơn cho ML so với angle raw.</t>
  </si>
  <si>
    <t>Thiết kế safe padding và chronological split trong model_pipeline.py.</t>
  </si>
  <si>
    <t>scr/model_pipeline.py</t>
  </si>
  <si>
    <t>Train/Val/Test tách theo thời gian, padding cho lag continuity.</t>
  </si>
  <si>
    <t>Audit use_target_history=True: kiểm tra không có us_aqi/us_aqi_shifted lọt vào X và xác nhận autocorrelation mạnh.</t>
  </si>
  <si>
    <t>Notebook/model audit output; Model Report VI</t>
  </si>
  <si>
    <t>Phân biệt leakage và strong autocorrelation.</t>
  </si>
  <si>
    <t>Chuẩn bị Analysis_SQL.sql và Analysis_Python.py cho phân tích bổ trợ.</t>
  </si>
  <si>
    <t>scr/Analysis_SQL.sql; scr/Analysis_Python.py</t>
  </si>
  <si>
    <t>Bổ sung Python/SQL analytics.</t>
  </si>
  <si>
    <t>Data cleaning pipeline hoàn chỉnh.</t>
  </si>
  <si>
    <t>Chronological split và safe padding.</t>
  </si>
  <si>
    <t>Feature engineering temporal/wind/lag/rolling.</t>
  </si>
  <si>
    <t>data_preparation.py; wildfire_dual_config_benchmark.py</t>
  </si>
  <si>
    <t>Leakage audit cho target history.</t>
  </si>
  <si>
    <t>Kết quả kiểm tra: X không chứa us_aqi hoặc us_aqi_shifted</t>
  </si>
  <si>
    <t>AI Audit Log tuần 3.</t>
  </si>
  <si>
    <t>Sheet Tuần 3 - AI Audit Log</t>
  </si>
  <si>
    <t>Bật use_target_history=True có gây data leakage không?</t>
  </si>
  <si>
    <t>Leakage Audit</t>
  </si>
  <si>
    <t>Ban đầu nghi ngờ R2 quá cao là leakage. Kiểm chứng alignment cho thấy lag là quá khứ; nguyên nhân chính là strong autocorrelation.</t>
  </si>
  <si>
    <t>Safe padding cần bao nhiêu giờ khi có lag/rolling và LSTM window?</t>
  </si>
  <si>
    <t>Split Design</t>
  </si>
  <si>
    <t>Dùng max(horizon+23, TIME_STEPS=24) để đủ ngữ cảnh quá khứ cho validation/test.</t>
  </si>
  <si>
    <t>Scaler nên fit trên toàn dataset hay chỉ train?</t>
  </si>
  <si>
    <t>Preprocessing</t>
  </si>
  <si>
    <t>Chốt fit StandardScaler trên X_train, transform X_val/X_test để tránh structural leakage.</t>
  </si>
  <si>
    <t>Triển khai safe padding, feature engineering và leakage audit.</t>
  </si>
  <si>
    <t>Phân biệt leakage thật với autocorrelation cần kiểm tra kỹ alignment.</t>
  </si>
  <si>
    <t>Tuần sau benchmark 5 mô hình và LSTM windowing.</t>
  </si>
  <si>
    <t>Hỗ trợ cleaning, EDA-to-feature transition và SQL/Python analysis.</t>
  </si>
  <si>
    <t>Cần đảm bảo feature không dùng tương lai.</t>
  </si>
  <si>
    <t>Tuần sau chạy mô hình và tổng hợp kết quả.</t>
  </si>
  <si>
    <t>MILESTONE TUẦN 3: Non-leakage feature engineering and chronological split framework completed.</t>
  </si>
  <si>
    <t>TUẦN 4 – BÁO CÁO TIẾN ĐỘ – MON DAP391m SU26</t>
  </si>
  <si>
    <t>Mục tiêu tuần này: Huấn luyện và so sánh 5 mô hình dự báo, triển khai dual target-history benchmark và extreme-event evaluation.</t>
  </si>
  <si>
    <t>Huấn luyện 5 mô hình: Ridge, Random Forest, LightGBM, CatBoost, LSTM-24h.</t>
  </si>
  <si>
    <t>scr/benchmark_framework.py; scr/wildfire_dual_config_benchmark.py</t>
  </si>
  <si>
    <t>Đại diện linear, bagging, boosting, deep sequential.</t>
  </si>
  <si>
    <t>Tối ưu cấu hình shallow/regularized models: Ridge alpha=10, RF depth=6, LightGBM depth=4, CatBoost depth=4.</t>
  </si>
  <si>
    <t>wildfire_dual_config_benchmark.py</t>
  </si>
  <si>
    <t>Giảm overfitting baseline noise.</t>
  </si>
  <si>
    <t>Chuyển LSTM từ timesteps=1 sang window 24 giờ.</t>
  </si>
  <si>
    <t>LSTM-24h trong wildfire_dual_config_benchmark.py</t>
  </si>
  <si>
    <t>LSTM exogenous-only đạt R2=0.2101.</t>
  </si>
  <si>
    <t>Chạy dual configurations: use_target_history=True và False.</t>
  </si>
  <si>
    <t>Comparative global leaderboard</t>
  </si>
  <si>
    <t>Phân tách autoregressive vs exogenous-only setup.</t>
  </si>
  <si>
    <t>Đánh giá scenario: Non-event AQI&lt;=100, Curry Fire May 2026, July-August 2025 unavailable in test split.</t>
  </si>
  <si>
    <t>Multi-scenario wildfire evaluation report</t>
  </si>
  <si>
    <t>Curry Fire available N=575.</t>
  </si>
  <si>
    <t>Viết Model Report tiếng Anh và tiếng Việt, thêm biểu đồ có số trên cột.</t>
  </si>
  <si>
    <t>notebook/Model Report.ipynb; notebook/Model Report VI.ipynb</t>
  </si>
  <si>
    <t>Báo cáo học thuật Results/Discussion.</t>
  </si>
  <si>
    <t>Cập nhật Project_Proposal.md theo template, timeline, references.</t>
  </si>
  <si>
    <t>Có abstract, mentor, members, references.</t>
  </si>
  <si>
    <t>Five-model benchmark leaderboard.</t>
  </si>
  <si>
    <t>Ridge, RF, LightGBM, CatBoost, LSTM-24h</t>
  </si>
  <si>
    <t>Dual target-history ablation.</t>
  </si>
  <si>
    <t>use_target_history=True/False</t>
  </si>
  <si>
    <t>Extreme-event evaluation.</t>
  </si>
  <si>
    <t>Curry Fire May 2026; Non-event baseline</t>
  </si>
  <si>
    <t>Model report notebooks.</t>
  </si>
  <si>
    <t>Model Report.ipynb; Model Report VI.ipynb</t>
  </si>
  <si>
    <t>Proposal cập nhật.</t>
  </si>
  <si>
    <t>Tại sao Ridge R2=0.9827 khi bật target history nhưng âm khi tắt?</t>
  </si>
  <si>
    <t>ANALYSIS</t>
  </si>
  <si>
    <t>Model Interpretation</t>
  </si>
  <si>
    <t>Diễn giải Ridge là diagnostic model cho autocorrelation; không phải mô hình tốt nhất mọi setting.</t>
  </si>
  <si>
    <t>Vì sao July-August 2025 có N=0 trong scenario evaluation?</t>
  </si>
  <si>
    <t>Scenario Evaluation</t>
  </si>
  <si>
    <t>Do strict chronological test split; window nằm trong train/validation, đánh dấu unavailable thay vì xóa.</t>
  </si>
  <si>
    <t>Thiếu TensorFlow thì LSTM xử lý thế nào?</t>
  </si>
  <si>
    <t>PROBLEM-SOLVING</t>
  </si>
  <si>
    <t>Deep Learning</t>
  </si>
  <si>
    <t>Bỏ TensorFlow dependency, dùng PyTorch LSTM equivalent: hidden=32, dropout=0.3, MAE loss, Adam lr=0.001.</t>
  </si>
  <si>
    <t>Model report tiếng Việt nên dịch word-by-word hay viết học thuật tự nhiên?</t>
  </si>
  <si>
    <t>Reporting</t>
  </si>
  <si>
    <t>Viết lại theo giọng Results/Discussion học thuật, không dịch máy từng câu.</t>
  </si>
  <si>
    <t>Triển khai benchmark, kiểm tra leakage/autocorrelation, cập nhật proposal và report.</t>
  </si>
  <si>
    <t>Một số kết quả R2 quá cao cần diễn giải cẩn thận để tránh hiểu nhầm leakage.</t>
  </si>
  <si>
    <t>Tuần sau chuẩn bị final report LaTeX/slides và Q&amp;A.</t>
  </si>
  <si>
    <t>Hỗ trợ tuning, LSTM-24h, scenario evaluation và diễn giải kết quả Curry Fire.</t>
  </si>
  <si>
    <t>Cần phân biệt rõ exogenous-only và autoregressive setup khi trình bày.</t>
  </si>
  <si>
    <t>Tuần sau hoàn thiện figures/tables và phần discussion.</t>
  </si>
  <si>
    <t>MILESTONE TUẦN 4: Five-model benchmark, dual target-history ablation, and extreme-event evaluation completed.</t>
  </si>
  <si>
    <t>TUẦN 5 – BÁO CÁO TIẾN ĐỘ – MON DAP391m SU26</t>
  </si>
  <si>
    <t>Mục tiêu tuần này: Tích hợp API/AI Services vào hệ thống, bắt đầu viết Final Report theo LaTeX Springer.</t>
  </si>
  <si>
    <t>Tích hợp ít nhất 1 AI service hoặc API bên ngoài có chạy được</t>
  </si>
  <si>
    <t>Demo chức năng AI service trong notebook hoặc app demo</t>
  </si>
  <si>
    <t>Draft LaTeX: Abstract + Introduction + Related Work (3–5 trang)</t>
  </si>
  <si>
    <t>Ghi Core Prompt về tích hợp API vào Audit Log</t>
  </si>
  <si>
    <t>Kiểm tra lại số lượng Core Prompt: phải ≥ 8 sau 5 tuần</t>
  </si>
  <si>
    <t>MILESTONE TUẦN 5: API prototype + LaTeX PDF draft (3–5 trang)</t>
  </si>
  <si>
    <t>TUẦN 6 – BÁO CÁO TIẾN ĐỘ – MON DAP391m SU26</t>
  </si>
  <si>
    <t>Mục tiêu tuần này: Phát triển ứng dụng và giải pháp AI-powered. Hoàn thiện AI Audit Log lần 1.</t>
  </si>
  <si>
    <t>Có bản application chạy được (web app, dashboard, hoặc script)</t>
  </si>
  <si>
    <t>Tích hợp dữ liệu + mô hình + AI service vào app</t>
  </si>
  <si>
    <t>AI Audit Log lần 1: đủ 12–15 Core Prompt, ≥ 2 hallucination</t>
  </si>
  <si>
    <t>Phân tích reflection Human Delta rõ ràng cho ≥ 70% entries</t>
  </si>
  <si>
    <t>Hoàn thiện Methodology + Results trong LaTeX</t>
  </si>
  <si>
    <t>MILESTONE TUẦN 6: App chạy được + Audit Log ≥ 12 entries + LaTeX Methodology</t>
  </si>
  <si>
    <t>TUẦN 7 – BÁO CÁO TIẾN ĐỘ – MON DAP391m SU26</t>
  </si>
  <si>
    <t>Mục tiêu tuần này: Hoàn thiện toàn bộ: code, dashboard, paper, chuẩn bị Oral Vivas và Q&amp;A.</t>
  </si>
  <si>
    <t>Code sạch, có comment, chạy đúng trên máy khách</t>
  </si>
  <si>
    <t>Dashboard / app đầy đủ chức năng đã cam kết</t>
  </si>
  <si>
    <t>Final Report: 10–12 trang LaTeX Springer, đủ 8 tiêu chí đánh giá</t>
  </si>
  <si>
    <t>AI Audit Log hoàn chỉnh: 15–20 Core Prompt, ≥ 3 hallucination</t>
  </si>
  <si>
    <t>Chuẩn bị trả lời 5 câu hỏi khó nhất từ Audit Log (Oral Vivas prep)</t>
  </si>
  <si>
    <t>MILESTONE TUẦN 7: Final Project hoàn chỉnh sẵn sàng bảo vệ</t>
  </si>
  <si>
    <t>TUẦN 8 – BÁO CÁO TIẾN ĐỘ – MON DAP391m SU26</t>
  </si>
  <si>
    <t>Tuần 8</t>
  </si>
  <si>
    <t>TUẦN 9 – BÁO CÁO TIẾN ĐỘ – MON DAP391m SU26</t>
  </si>
  <si>
    <t>Tuần 9</t>
  </si>
  <si>
    <t>TỔNG HỢP TIẾN ĐỘ ĐẾN TUẦN 4 – DAP391m SU26</t>
  </si>
  <si>
    <t>A. BẢNG ĐIỂM TỰ ĐÁNH GIÁ THEO TUẦN</t>
  </si>
  <si>
    <t>Tuần 1
/10</t>
  </si>
  <si>
    <t>Tuần 2
/10</t>
  </si>
  <si>
    <t>Tuần 3
/10</t>
  </si>
  <si>
    <t>Tuần 4
/10</t>
  </si>
  <si>
    <t>Tuần 5
/10</t>
  </si>
  <si>
    <t>Tuần 6
/10</t>
  </si>
  <si>
    <t>Tuần 7
/10</t>
  </si>
  <si>
    <t>Trung bình
7 tuần</t>
  </si>
  <si>
    <t>B. TỔNG HỢP AI AUDIT LOG (YÊU CẦU NHÓM: 15–20 CORE PROMPT)</t>
  </si>
  <si>
    <t>Prompt
T1</t>
  </si>
  <si>
    <t>Prompt
T2</t>
  </si>
  <si>
    <t>Prompt
T3</t>
  </si>
  <si>
    <t>Prompt
T4</t>
  </si>
  <si>
    <t>Prompt
T5</t>
  </si>
  <si>
    <t>Prompt
T6</t>
  </si>
  <si>
    <t>Prompt
T7</t>
  </si>
  <si>
    <t>Tổng (15–20)</t>
  </si>
  <si>
    <t>C. TỔNG HỢP HALLUCINATION DETECTION (YÊU CẦU NHÓM: ≥ 3 TRƯỜNG HỢP)</t>
  </si>
  <si>
    <t>Hall.
T1</t>
  </si>
  <si>
    <t>Hall.
T2</t>
  </si>
  <si>
    <t>Hall.
T3</t>
  </si>
  <si>
    <t>Hall.
T4</t>
  </si>
  <si>
    <t>Hall.
T5</t>
  </si>
  <si>
    <t>Hall.
T6</t>
  </si>
  <si>
    <t>Hall.
T7</t>
  </si>
  <si>
    <t>Tổng (≥ 3)</t>
  </si>
  <si>
    <t>D. NHẬN XÉT CUỐI KỲ CỦA GIẢNG VIÊN</t>
  </si>
  <si>
    <t>Đánh giá tổng quát quá trình làm việc của nhóm: Nhóm đã hoàn thành tiến độ đến Tuần 4, gồm proposal, EDA, feature engineering, non-leakage modeling framework, five-model benchmark, dual target-history ablation, and extreme-event evaluation.</t>
  </si>
  <si>
    <t>Điểm mạnh nổi bật: Quy trình chống leakage rõ ràng, EDA đầy đủ, benchmark đa mô hình, có phân tích Curry Fire và báo cáo song ngữ.</t>
  </si>
  <si>
    <t>Điểm cần cải thiện cho các học kỳ tiếp theo: Cần hoàn thiện integration/application phần tuần 5-6 và chuẩn bị final report/slides.</t>
  </si>
  <si>
    <t>Kiến nghị / Đề xuất: Tiếp tục hoàn thiện LaTeX report, Q&amp;A, figures/tables và nếu cần bổ sung event-holdout cho July-August 2025.</t>
  </si>
  <si>
    <t>https://drive.google.com/drive/folders/1xNpRfD1hFA_P46x1FsJNsek-YNKrlLJ2?usp=sharing</t>
  </si>
  <si>
    <t>https://open-meteo.com/en/docs</t>
  </si>
  <si>
    <t>taminh123xt@gmail.com</t>
  </si>
  <si>
    <t>trinhquocsang1@gmail.com</t>
  </si>
  <si>
    <t>0364173373</t>
  </si>
  <si>
    <t>0343754770</t>
  </si>
  <si>
    <t>Group7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</si>
</sst>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]###\-####;\(###\)\ ###\-####"/>
    <numFmt numFmtId="165" formatCode="00000"/>
  </numFmts>
  <fonts count="21">
    <font>
      <sz val="11"/>
      <color theme="1"/>
      <name val="Calibri"/>
      <scheme val="minor"/>
    </font>
    <font>
      <b/>
      <sz val="15"/>
      <color rgb="FFFFFFFF"/>
      <name val="Arial"/>
    </font>
    <font>
      <sz val="11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1"/>
      <color rgb="FF1F3864"/>
      <name val="Arial"/>
    </font>
    <font>
      <b/>
      <sz val="14"/>
      <color rgb="FFFFFF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b/>
      <sz val="13"/>
      <color rgb="FFFFFFFF"/>
      <name val="Arial"/>
    </font>
    <font>
      <sz val="10"/>
      <color rgb="FFFFFFFF"/>
      <name val="Arial"/>
    </font>
    <font>
      <u/>
      <sz val="10"/>
      <color rgb="FF000000"/>
      <name val="Arial"/>
    </font>
    <font>
      <sz val="11"/>
      <color theme="1"/>
      <name val="Calibri"/>
      <scheme val="minor"/>
    </font>
    <font>
      <sz val="9"/>
      <color rgb="FF000000"/>
      <name val="&quot;Arial&quot;"/>
    </font>
    <font>
      <sz val="9"/>
      <color theme="1"/>
      <name val="&quot;Arial&quot;"/>
    </font>
    <font>
      <b/>
      <sz val="10"/>
      <color theme="1"/>
      <name val="Arial"/>
    </font>
    <font>
      <u/>
      <sz val="11"/>
      <color theme="10"/>
      <name val="Calibri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4B942"/>
        <bgColor rgb="FFF4B942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9">
    <xf numFmtId="0" fontId="0" fillId="0" borderId="0" xfId="0"/>
    <xf numFmtId="0" fontId="6" fillId="2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16" fillId="5" borderId="0" xfId="0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top" wrapText="1"/>
    </xf>
    <xf numFmtId="0" fontId="11" fillId="6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8" fillId="8" borderId="3" xfId="0" applyFont="1" applyFill="1" applyBorder="1" applyAlignment="1">
      <alignment vertical="top" wrapText="1"/>
    </xf>
    <xf numFmtId="0" fontId="18" fillId="4" borderId="3" xfId="0" applyFont="1" applyFill="1" applyBorder="1" applyAlignment="1">
      <alignment vertical="top" wrapText="1"/>
    </xf>
    <xf numFmtId="0" fontId="19" fillId="6" borderId="3" xfId="1" applyFill="1" applyBorder="1" applyAlignment="1">
      <alignment vertical="top" wrapText="1"/>
    </xf>
    <xf numFmtId="0" fontId="19" fillId="5" borderId="3" xfId="1" applyFill="1" applyBorder="1" applyAlignment="1">
      <alignment horizontal="left" vertical="top" wrapText="1"/>
    </xf>
    <xf numFmtId="165" fontId="20" fillId="6" borderId="3" xfId="0" quotePrefix="1" applyNumberFormat="1" applyFont="1" applyFill="1" applyBorder="1" applyAlignment="1">
      <alignment horizontal="left" vertical="top" wrapText="1"/>
    </xf>
    <xf numFmtId="164" fontId="20" fillId="5" borderId="3" xfId="0" quotePrefix="1" applyNumberFormat="1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vertical="top" wrapText="1"/>
    </xf>
    <xf numFmtId="0" fontId="0" fillId="0" borderId="1" xfId="0" applyBorder="1"/>
    <xf numFmtId="0" fontId="0" fillId="0" borderId="2" xfId="0" applyBorder="1"/>
    <xf numFmtId="0" fontId="4" fillId="4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9" fillId="5" borderId="3" xfId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10" fillId="5" borderId="3" xfId="0" applyFont="1" applyFill="1" applyBorder="1" applyAlignment="1">
      <alignment vertical="top" wrapText="1"/>
    </xf>
    <xf numFmtId="0" fontId="9" fillId="5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7" fillId="4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7" fillId="7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aminh123xt@gmail.com" TargetMode="External"/><Relationship Id="rId2" Type="http://schemas.openxmlformats.org/officeDocument/2006/relationships/hyperlink" Target="https://open-meteo.com/en/docs" TargetMode="External"/><Relationship Id="rId1" Type="http://schemas.openxmlformats.org/officeDocument/2006/relationships/hyperlink" Target="https://drive.google.com/drive/folders/1xNpRfD1hFA_P46x1FsJNsek-YNKrlLJ2?usp=shari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rinhquocsan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showGridLines="0" workbookViewId="0">
      <selection sqref="A1:D1"/>
    </sheetView>
  </sheetViews>
  <sheetFormatPr defaultColWidth="14.44140625" defaultRowHeight="15" customHeight="1"/>
  <cols>
    <col min="1" max="1" width="14" customWidth="1"/>
    <col min="2" max="2" width="48" customWidth="1"/>
    <col min="3" max="3" width="58" customWidth="1"/>
    <col min="4" max="4" width="22" customWidth="1"/>
    <col min="5" max="5" width="42" customWidth="1"/>
    <col min="6" max="6" width="32" customWidth="1"/>
    <col min="7" max="26" width="42" customWidth="1"/>
  </cols>
  <sheetData>
    <row r="1" spans="1:4" ht="39.75" customHeight="1">
      <c r="A1" s="37" t="s">
        <v>78</v>
      </c>
      <c r="B1" s="26"/>
      <c r="C1" s="26"/>
      <c r="D1" s="27"/>
    </row>
    <row r="2" spans="1:4" ht="21.75" customHeight="1">
      <c r="A2" s="42" t="s">
        <v>79</v>
      </c>
      <c r="B2" s="26"/>
      <c r="C2" s="26"/>
      <c r="D2" s="27"/>
    </row>
    <row r="3" spans="1:4" ht="7.5" customHeight="1"/>
    <row r="4" spans="1:4" ht="21.75" customHeight="1">
      <c r="A4" s="25" t="s">
        <v>80</v>
      </c>
      <c r="B4" s="26"/>
      <c r="C4" s="26"/>
      <c r="D4" s="27"/>
    </row>
    <row r="5" spans="1:4" ht="19.5" customHeight="1">
      <c r="A5" s="11" t="s">
        <v>81</v>
      </c>
      <c r="B5" s="38" t="s">
        <v>82</v>
      </c>
      <c r="C5" s="26"/>
      <c r="D5" s="27"/>
    </row>
    <row r="6" spans="1:4" ht="19.5" customHeight="1">
      <c r="A6" s="11" t="s">
        <v>83</v>
      </c>
      <c r="B6" s="38" t="s">
        <v>84</v>
      </c>
      <c r="C6" s="26"/>
      <c r="D6" s="27"/>
    </row>
    <row r="7" spans="1:4" ht="19.5" customHeight="1">
      <c r="A7" s="11" t="s">
        <v>85</v>
      </c>
      <c r="B7" s="38" t="s">
        <v>86</v>
      </c>
      <c r="C7" s="26"/>
      <c r="D7" s="27"/>
    </row>
    <row r="8" spans="1:4" ht="19.5" customHeight="1">
      <c r="A8" s="11" t="s">
        <v>87</v>
      </c>
      <c r="B8" s="38" t="s">
        <v>88</v>
      </c>
      <c r="C8" s="26"/>
      <c r="D8" s="27"/>
    </row>
    <row r="9" spans="1:4" ht="7.5" customHeight="1"/>
    <row r="10" spans="1:4" ht="21.75" customHeight="1">
      <c r="A10" s="25" t="s">
        <v>89</v>
      </c>
      <c r="B10" s="26"/>
      <c r="C10" s="26"/>
      <c r="D10" s="27"/>
    </row>
    <row r="11" spans="1:4" ht="19.5" customHeight="1">
      <c r="B11" s="12" t="s">
        <v>90</v>
      </c>
      <c r="C11" s="40" t="s">
        <v>91</v>
      </c>
      <c r="D11" s="27"/>
    </row>
    <row r="12" spans="1:4" ht="19.5" customHeight="1">
      <c r="A12" s="13" t="s">
        <v>92</v>
      </c>
      <c r="B12" s="13" t="s">
        <v>93</v>
      </c>
      <c r="C12" s="36" t="s">
        <v>94</v>
      </c>
      <c r="D12" s="27"/>
    </row>
    <row r="13" spans="1:4" ht="19.5" customHeight="1">
      <c r="A13" s="15" t="s">
        <v>95</v>
      </c>
      <c r="B13" s="15" t="s">
        <v>96</v>
      </c>
      <c r="C13" s="39" t="s">
        <v>97</v>
      </c>
      <c r="D13" s="27"/>
    </row>
    <row r="14" spans="1:4" ht="19.5" customHeight="1">
      <c r="A14" s="13" t="s">
        <v>98</v>
      </c>
      <c r="B14" s="13" t="s">
        <v>54</v>
      </c>
      <c r="C14" s="36" t="s">
        <v>99</v>
      </c>
      <c r="D14" s="27"/>
    </row>
    <row r="15" spans="1:4" ht="19.5" customHeight="1">
      <c r="A15" s="15" t="s">
        <v>100</v>
      </c>
      <c r="B15" s="15" t="s">
        <v>58</v>
      </c>
      <c r="C15" s="39" t="s">
        <v>101</v>
      </c>
      <c r="D15" s="27"/>
    </row>
    <row r="16" spans="1:4" ht="19.5" customHeight="1">
      <c r="A16" s="13" t="s">
        <v>102</v>
      </c>
      <c r="B16" s="13" t="s">
        <v>61</v>
      </c>
      <c r="C16" s="36" t="s">
        <v>103</v>
      </c>
      <c r="D16" s="27"/>
    </row>
    <row r="17" spans="1:4" ht="19.5" customHeight="1">
      <c r="A17" s="15" t="s">
        <v>104</v>
      </c>
      <c r="B17" s="15" t="s">
        <v>64</v>
      </c>
      <c r="C17" s="39" t="s">
        <v>105</v>
      </c>
      <c r="D17" s="27"/>
    </row>
    <row r="18" spans="1:4" ht="19.5" customHeight="1">
      <c r="A18" s="13" t="s">
        <v>106</v>
      </c>
      <c r="B18" s="13" t="s">
        <v>67</v>
      </c>
      <c r="C18" s="36" t="s">
        <v>107</v>
      </c>
      <c r="D18" s="27"/>
    </row>
    <row r="19" spans="1:4" ht="19.5" customHeight="1">
      <c r="A19" s="15" t="s">
        <v>108</v>
      </c>
      <c r="B19" s="15" t="s">
        <v>72</v>
      </c>
      <c r="C19" s="39" t="s">
        <v>109</v>
      </c>
      <c r="D19" s="27"/>
    </row>
    <row r="20" spans="1:4" ht="19.5" customHeight="1">
      <c r="A20" s="13" t="s">
        <v>110</v>
      </c>
      <c r="B20" s="13" t="s">
        <v>75</v>
      </c>
      <c r="C20" s="36" t="s">
        <v>111</v>
      </c>
      <c r="D20" s="27"/>
    </row>
    <row r="21" spans="1:4" ht="19.5" customHeight="1">
      <c r="A21" s="15" t="s">
        <v>112</v>
      </c>
      <c r="B21" s="15" t="s">
        <v>113</v>
      </c>
      <c r="C21" s="39" t="s">
        <v>114</v>
      </c>
      <c r="D21" s="27"/>
    </row>
    <row r="22" spans="1:4" ht="7.5" customHeight="1"/>
    <row r="23" spans="1:4" ht="21.75" customHeight="1">
      <c r="A23" s="25" t="s">
        <v>115</v>
      </c>
      <c r="B23" s="26"/>
      <c r="C23" s="26"/>
      <c r="D23" s="27"/>
    </row>
    <row r="24" spans="1:4" ht="18" customHeight="1">
      <c r="B24" s="12" t="s">
        <v>116</v>
      </c>
      <c r="C24" s="40" t="s">
        <v>117</v>
      </c>
      <c r="D24" s="27"/>
    </row>
    <row r="25" spans="1:4" ht="31.5" customHeight="1">
      <c r="A25" s="15" t="s">
        <v>92</v>
      </c>
      <c r="B25" s="15" t="s">
        <v>118</v>
      </c>
      <c r="C25" s="39" t="s">
        <v>119</v>
      </c>
      <c r="D25" s="27"/>
    </row>
    <row r="26" spans="1:4" ht="31.5" customHeight="1">
      <c r="A26" s="13" t="s">
        <v>95</v>
      </c>
      <c r="B26" s="13" t="s">
        <v>120</v>
      </c>
      <c r="C26" s="36" t="s">
        <v>121</v>
      </c>
      <c r="D26" s="27"/>
    </row>
    <row r="27" spans="1:4" ht="31.5" customHeight="1">
      <c r="A27" s="15" t="s">
        <v>98</v>
      </c>
      <c r="B27" s="15" t="s">
        <v>122</v>
      </c>
      <c r="C27" s="39" t="s">
        <v>123</v>
      </c>
      <c r="D27" s="27"/>
    </row>
    <row r="28" spans="1:4" ht="31.5" customHeight="1">
      <c r="A28" s="13" t="s">
        <v>100</v>
      </c>
      <c r="B28" s="13" t="s">
        <v>124</v>
      </c>
      <c r="C28" s="36" t="s">
        <v>125</v>
      </c>
      <c r="D28" s="27"/>
    </row>
    <row r="29" spans="1:4" ht="31.5" customHeight="1">
      <c r="A29" s="15" t="s">
        <v>102</v>
      </c>
      <c r="B29" s="15" t="s">
        <v>126</v>
      </c>
      <c r="C29" s="39" t="s">
        <v>127</v>
      </c>
      <c r="D29" s="27"/>
    </row>
    <row r="30" spans="1:4" ht="31.5" customHeight="1">
      <c r="A30" s="13" t="s">
        <v>104</v>
      </c>
      <c r="B30" s="13" t="s">
        <v>128</v>
      </c>
      <c r="C30" s="36" t="s">
        <v>129</v>
      </c>
      <c r="D30" s="27"/>
    </row>
    <row r="31" spans="1:4" ht="31.5" customHeight="1">
      <c r="A31" s="15" t="s">
        <v>106</v>
      </c>
      <c r="B31" s="15" t="s">
        <v>130</v>
      </c>
      <c r="C31" s="39" t="s">
        <v>131</v>
      </c>
      <c r="D31" s="27"/>
    </row>
    <row r="32" spans="1:4" ht="7.5" customHeight="1"/>
    <row r="33" spans="1:4" ht="25.5" customHeight="1">
      <c r="A33" s="41" t="s">
        <v>132</v>
      </c>
      <c r="B33" s="26"/>
      <c r="C33" s="26"/>
      <c r="D33" s="27"/>
    </row>
    <row r="34" spans="1:4" ht="15.75" customHeight="1"/>
    <row r="35" spans="1:4" ht="15.75" customHeight="1"/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33:D33"/>
    <mergeCell ref="C18:D18"/>
    <mergeCell ref="A2:D2"/>
    <mergeCell ref="C31:D31"/>
    <mergeCell ref="B6:D6"/>
    <mergeCell ref="C27:D27"/>
    <mergeCell ref="C28:D28"/>
    <mergeCell ref="A23:D23"/>
    <mergeCell ref="C30:D30"/>
    <mergeCell ref="C24:D24"/>
    <mergeCell ref="C26:D26"/>
    <mergeCell ref="C29:D29"/>
    <mergeCell ref="C25:D25"/>
    <mergeCell ref="A1:D1"/>
    <mergeCell ref="C12:D12"/>
    <mergeCell ref="B5:D5"/>
    <mergeCell ref="C21:D21"/>
    <mergeCell ref="C11:D11"/>
    <mergeCell ref="B7:D7"/>
    <mergeCell ref="C17:D17"/>
    <mergeCell ref="C19:D19"/>
    <mergeCell ref="C13:D13"/>
    <mergeCell ref="C15:D15"/>
    <mergeCell ref="A4:D4"/>
    <mergeCell ref="B8:D8"/>
    <mergeCell ref="C14:D14"/>
    <mergeCell ref="A10:D10"/>
    <mergeCell ref="C20:D20"/>
    <mergeCell ref="C16:D1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showGridLines="0" tabSelected="1" workbookViewId="0">
      <selection activeCell="C4" sqref="A3:F12"/>
    </sheetView>
  </sheetViews>
  <sheetFormatPr defaultColWidth="14.44140625" defaultRowHeight="15" customHeight="1"/>
  <cols>
    <col min="1" max="1" width="14" customWidth="1"/>
    <col min="2" max="2" width="48" customWidth="1"/>
    <col min="3" max="3" width="30" customWidth="1"/>
    <col min="4" max="4" width="23.88671875" customWidth="1"/>
    <col min="5" max="5" width="42" customWidth="1"/>
    <col min="6" max="6" width="32" customWidth="1"/>
    <col min="7" max="26" width="8.77734375" customWidth="1"/>
  </cols>
  <sheetData>
    <row r="1" spans="1:6" ht="36" customHeight="1">
      <c r="A1" s="33" t="s">
        <v>0</v>
      </c>
      <c r="B1" s="26"/>
      <c r="C1" s="26"/>
      <c r="D1" s="26"/>
      <c r="E1" s="26"/>
      <c r="F1" s="27"/>
    </row>
    <row r="2" spans="1:6" ht="6" customHeight="1"/>
    <row r="3" spans="1:6" ht="21.75" customHeight="1">
      <c r="A3" s="25" t="s">
        <v>1</v>
      </c>
      <c r="B3" s="26"/>
      <c r="C3" s="26"/>
      <c r="D3" s="26"/>
      <c r="E3" s="26"/>
      <c r="F3" s="27"/>
    </row>
    <row r="4" spans="1:6" ht="21.75" customHeight="1">
      <c r="A4" s="28" t="s">
        <v>2</v>
      </c>
      <c r="B4" s="27"/>
      <c r="C4" s="36" t="s">
        <v>3</v>
      </c>
      <c r="D4" s="26"/>
      <c r="E4" s="26"/>
      <c r="F4" s="27"/>
    </row>
    <row r="5" spans="1:6" ht="21.75" customHeight="1">
      <c r="A5" s="28" t="s">
        <v>4</v>
      </c>
      <c r="B5" s="27"/>
      <c r="C5" s="36" t="s">
        <v>418</v>
      </c>
      <c r="D5" s="26"/>
      <c r="E5" s="26"/>
      <c r="F5" s="27"/>
    </row>
    <row r="6" spans="1:6" ht="21.75" customHeight="1">
      <c r="A6" s="28" t="s">
        <v>6</v>
      </c>
      <c r="B6" s="27"/>
      <c r="C6" s="29">
        <v>2</v>
      </c>
      <c r="D6" s="30"/>
      <c r="E6" s="30"/>
      <c r="F6" s="31"/>
    </row>
    <row r="7" spans="1:6" ht="21.75" customHeight="1">
      <c r="A7" s="28" t="s">
        <v>7</v>
      </c>
      <c r="B7" s="27"/>
      <c r="C7" s="36" t="s">
        <v>8</v>
      </c>
      <c r="D7" s="26"/>
      <c r="E7" s="26"/>
      <c r="F7" s="27"/>
    </row>
    <row r="8" spans="1:6" ht="21.75" customHeight="1">
      <c r="A8" s="28" t="s">
        <v>9</v>
      </c>
      <c r="B8" s="27"/>
      <c r="C8" s="35" t="s">
        <v>10</v>
      </c>
      <c r="D8" s="26"/>
      <c r="E8" s="26"/>
      <c r="F8" s="27"/>
    </row>
    <row r="9" spans="1:6" ht="21.75" customHeight="1">
      <c r="A9" s="28" t="s">
        <v>11</v>
      </c>
      <c r="B9" s="27"/>
      <c r="C9" s="32" t="s">
        <v>413</v>
      </c>
      <c r="D9" s="26"/>
      <c r="E9" s="26"/>
      <c r="F9" s="27"/>
    </row>
    <row r="10" spans="1:6" ht="21.75" customHeight="1">
      <c r="A10" s="28" t="s">
        <v>12</v>
      </c>
      <c r="B10" s="27"/>
      <c r="C10" s="32" t="s">
        <v>412</v>
      </c>
      <c r="D10" s="26"/>
      <c r="E10" s="26"/>
      <c r="F10" s="27"/>
    </row>
    <row r="11" spans="1:6" ht="21.75" customHeight="1">
      <c r="A11" s="28" t="s">
        <v>14</v>
      </c>
      <c r="B11" s="27"/>
      <c r="C11" s="34" t="s">
        <v>15</v>
      </c>
      <c r="D11" s="26"/>
      <c r="E11" s="26"/>
      <c r="F11" s="27"/>
    </row>
    <row r="12" spans="1:6" ht="21.75" customHeight="1">
      <c r="A12" s="28" t="s">
        <v>16</v>
      </c>
      <c r="B12" s="27"/>
      <c r="C12" s="29">
        <v>1</v>
      </c>
      <c r="D12" s="30"/>
      <c r="E12" s="30"/>
      <c r="F12" s="31"/>
    </row>
    <row r="13" spans="1:6" ht="7.5" customHeight="1"/>
    <row r="14" spans="1:6" ht="21.75" customHeight="1">
      <c r="A14" s="25" t="s">
        <v>17</v>
      </c>
      <c r="B14" s="26"/>
      <c r="C14" s="26"/>
      <c r="D14" s="26"/>
      <c r="E14" s="26"/>
      <c r="F14" s="27"/>
    </row>
    <row r="15" spans="1:6" ht="19.5" customHeight="1">
      <c r="A15" s="12" t="s">
        <v>18</v>
      </c>
      <c r="B15" s="12" t="s">
        <v>19</v>
      </c>
      <c r="C15" s="12" t="s">
        <v>20</v>
      </c>
      <c r="D15" s="12" t="s">
        <v>21</v>
      </c>
      <c r="E15" s="12" t="s">
        <v>22</v>
      </c>
      <c r="F15" s="12" t="s">
        <v>23</v>
      </c>
    </row>
    <row r="16" spans="1:6" ht="24" customHeight="1">
      <c r="A16" s="16">
        <v>1</v>
      </c>
      <c r="B16" s="16" t="s">
        <v>24</v>
      </c>
      <c r="C16" s="16" t="s">
        <v>25</v>
      </c>
      <c r="D16" s="21" t="s">
        <v>414</v>
      </c>
      <c r="E16" s="23" t="s">
        <v>416</v>
      </c>
      <c r="F16" s="16" t="s">
        <v>26</v>
      </c>
    </row>
    <row r="17" spans="1:6" ht="24" customHeight="1">
      <c r="A17" s="14">
        <v>2</v>
      </c>
      <c r="B17" s="14" t="s">
        <v>27</v>
      </c>
      <c r="C17" s="14" t="s">
        <v>28</v>
      </c>
      <c r="D17" s="22" t="s">
        <v>415</v>
      </c>
      <c r="E17" s="24" t="s">
        <v>417</v>
      </c>
      <c r="F17" s="14" t="s">
        <v>26</v>
      </c>
    </row>
    <row r="18" spans="1:6" ht="24" customHeight="1">
      <c r="A18" s="16"/>
      <c r="B18" s="16"/>
      <c r="C18" s="16"/>
      <c r="D18" s="16"/>
      <c r="E18" s="16"/>
      <c r="F18" s="16"/>
    </row>
    <row r="19" spans="1:6" ht="7.5" customHeight="1"/>
    <row r="20" spans="1:6" ht="21.75" customHeight="1">
      <c r="A20" s="25" t="s">
        <v>29</v>
      </c>
      <c r="B20" s="26"/>
      <c r="C20" s="26"/>
      <c r="D20" s="26"/>
      <c r="E20" s="26"/>
      <c r="F20" s="27"/>
    </row>
    <row r="21" spans="1:6" ht="27.75" customHeight="1">
      <c r="A21" s="12" t="s">
        <v>18</v>
      </c>
      <c r="B21" s="12" t="s">
        <v>30</v>
      </c>
      <c r="C21" s="12" t="s">
        <v>31</v>
      </c>
      <c r="D21" s="12" t="s">
        <v>32</v>
      </c>
      <c r="E21" s="12" t="s">
        <v>33</v>
      </c>
      <c r="F21" s="12" t="s">
        <v>34</v>
      </c>
    </row>
    <row r="22" spans="1:6" ht="80.25" customHeight="1">
      <c r="A22" s="16">
        <v>1</v>
      </c>
      <c r="B22" s="16" t="s">
        <v>35</v>
      </c>
      <c r="C22" s="16" t="s">
        <v>36</v>
      </c>
      <c r="D22" s="17" t="s">
        <v>37</v>
      </c>
      <c r="E22" s="16" t="s">
        <v>38</v>
      </c>
      <c r="F22" s="16" t="s">
        <v>39</v>
      </c>
    </row>
    <row r="23" spans="1:6" ht="74.25" customHeight="1">
      <c r="A23" s="14">
        <v>2</v>
      </c>
      <c r="B23" s="14" t="s">
        <v>40</v>
      </c>
      <c r="C23" s="14" t="s">
        <v>41</v>
      </c>
      <c r="D23" s="17" t="s">
        <v>42</v>
      </c>
      <c r="E23" s="14" t="s">
        <v>43</v>
      </c>
      <c r="F23" s="14" t="s">
        <v>39</v>
      </c>
    </row>
    <row r="24" spans="1:6" ht="121.5" customHeight="1">
      <c r="A24" s="16">
        <v>3</v>
      </c>
      <c r="B24" s="16" t="s">
        <v>44</v>
      </c>
      <c r="C24" s="16" t="s">
        <v>45</v>
      </c>
      <c r="D24" s="17" t="s">
        <v>46</v>
      </c>
      <c r="E24" s="16" t="s">
        <v>47</v>
      </c>
      <c r="F24" s="14" t="s">
        <v>39</v>
      </c>
    </row>
    <row r="25" spans="1:6" ht="7.5" customHeight="1"/>
    <row r="26" spans="1:6" ht="21.75" customHeight="1">
      <c r="A26" s="25" t="s">
        <v>48</v>
      </c>
      <c r="B26" s="26"/>
      <c r="C26" s="26"/>
      <c r="D26" s="26"/>
      <c r="E26" s="26"/>
      <c r="F26" s="27"/>
    </row>
    <row r="27" spans="1:6" ht="14.55" customHeight="1">
      <c r="A27" s="12" t="s">
        <v>49</v>
      </c>
      <c r="B27" s="12" t="s">
        <v>50</v>
      </c>
      <c r="C27" s="12" t="s">
        <v>51</v>
      </c>
      <c r="D27" s="12" t="s">
        <v>52</v>
      </c>
      <c r="E27" s="12" t="s">
        <v>53</v>
      </c>
      <c r="F27" s="12" t="s">
        <v>23</v>
      </c>
    </row>
    <row r="28" spans="1:6" ht="25.05" customHeight="1">
      <c r="A28" s="15" t="s">
        <v>54</v>
      </c>
      <c r="B28" s="16" t="s">
        <v>55</v>
      </c>
      <c r="C28" s="16" t="s">
        <v>24</v>
      </c>
      <c r="D28" s="16" t="s">
        <v>27</v>
      </c>
      <c r="E28" s="16" t="s">
        <v>56</v>
      </c>
      <c r="F28" s="16" t="s">
        <v>57</v>
      </c>
    </row>
    <row r="29" spans="1:6" ht="25.05" customHeight="1">
      <c r="A29" s="13" t="s">
        <v>58</v>
      </c>
      <c r="B29" s="14" t="s">
        <v>59</v>
      </c>
      <c r="C29" s="16" t="s">
        <v>27</v>
      </c>
      <c r="D29" s="16" t="s">
        <v>24</v>
      </c>
      <c r="E29" s="14" t="s">
        <v>60</v>
      </c>
      <c r="F29" s="14" t="s">
        <v>57</v>
      </c>
    </row>
    <row r="30" spans="1:6" ht="25.05" customHeight="1">
      <c r="A30" s="15" t="s">
        <v>61</v>
      </c>
      <c r="B30" s="16" t="s">
        <v>62</v>
      </c>
      <c r="C30" s="16" t="s">
        <v>27</v>
      </c>
      <c r="D30" s="16" t="s">
        <v>24</v>
      </c>
      <c r="E30" s="16" t="s">
        <v>63</v>
      </c>
      <c r="F30" s="16" t="s">
        <v>57</v>
      </c>
    </row>
    <row r="31" spans="1:6" ht="25.05" customHeight="1">
      <c r="A31" s="13" t="s">
        <v>64</v>
      </c>
      <c r="B31" s="14" t="s">
        <v>65</v>
      </c>
      <c r="C31" s="16" t="s">
        <v>24</v>
      </c>
      <c r="D31" s="16" t="s">
        <v>27</v>
      </c>
      <c r="E31" s="14" t="s">
        <v>66</v>
      </c>
      <c r="F31" s="14" t="s">
        <v>57</v>
      </c>
    </row>
    <row r="32" spans="1:6" ht="25.05" customHeight="1">
      <c r="A32" s="15" t="s">
        <v>67</v>
      </c>
      <c r="B32" s="16" t="s">
        <v>68</v>
      </c>
      <c r="C32" s="16" t="s">
        <v>69</v>
      </c>
      <c r="D32" s="16" t="s">
        <v>69</v>
      </c>
      <c r="E32" s="16" t="s">
        <v>70</v>
      </c>
      <c r="F32" s="16" t="s">
        <v>71</v>
      </c>
    </row>
    <row r="33" spans="1:6" ht="25.05" customHeight="1">
      <c r="A33" s="13" t="s">
        <v>72</v>
      </c>
      <c r="B33" s="14" t="s">
        <v>73</v>
      </c>
      <c r="C33" s="16" t="s">
        <v>69</v>
      </c>
      <c r="D33" s="16" t="s">
        <v>69</v>
      </c>
      <c r="E33" s="14" t="s">
        <v>74</v>
      </c>
      <c r="F33" s="14" t="s">
        <v>71</v>
      </c>
    </row>
    <row r="34" spans="1:6" ht="24" customHeight="1">
      <c r="A34" s="15" t="s">
        <v>75</v>
      </c>
      <c r="B34" s="16" t="s">
        <v>76</v>
      </c>
      <c r="C34" s="16" t="s">
        <v>69</v>
      </c>
      <c r="D34" s="16" t="s">
        <v>69</v>
      </c>
      <c r="E34" s="16" t="s">
        <v>77</v>
      </c>
      <c r="F34" s="16" t="s">
        <v>71</v>
      </c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">
    <mergeCell ref="A4:B4"/>
    <mergeCell ref="C9:F9"/>
    <mergeCell ref="A1:F1"/>
    <mergeCell ref="C12:F12"/>
    <mergeCell ref="A10:B10"/>
    <mergeCell ref="C11:F11"/>
    <mergeCell ref="A9:B9"/>
    <mergeCell ref="C8:F8"/>
    <mergeCell ref="A11:B11"/>
    <mergeCell ref="C7:F7"/>
    <mergeCell ref="A3:F3"/>
    <mergeCell ref="C5:F5"/>
    <mergeCell ref="C4:F4"/>
    <mergeCell ref="A5:B5"/>
    <mergeCell ref="A26:F26"/>
    <mergeCell ref="A6:B6"/>
    <mergeCell ref="A7:B7"/>
    <mergeCell ref="A14:F14"/>
    <mergeCell ref="C6:F6"/>
    <mergeCell ref="A20:F20"/>
    <mergeCell ref="A12:B12"/>
    <mergeCell ref="C10:F10"/>
    <mergeCell ref="A8:B8"/>
  </mergeCells>
  <hyperlinks>
    <hyperlink ref="C10" r:id="rId1" xr:uid="{31787DBC-5B60-4510-92B7-42EB3461C2C1}"/>
    <hyperlink ref="C9" r:id="rId2" xr:uid="{4454D1B8-C05F-4C48-A0D8-66F36AE1739D}"/>
    <hyperlink ref="D16" r:id="rId3" xr:uid="{F0E4B6FC-0E81-4695-BA5B-0C9680601931}"/>
    <hyperlink ref="D17" r:id="rId4" xr:uid="{116AA373-951D-4491-BFC6-2A04A849AA42}"/>
  </hyperlinks>
  <pageMargins left="0.75" right="0.75" top="1" bottom="1" header="0" footer="0"/>
  <pageSetup orientation="landscape" r:id="rId5"/>
  <ignoredErrors>
    <ignoredError sqref="E16:E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workbookViewId="0">
      <selection activeCell="B22" sqref="B22"/>
    </sheetView>
  </sheetViews>
  <sheetFormatPr defaultColWidth="14.44140625" defaultRowHeight="15" customHeight="1"/>
  <cols>
    <col min="1" max="1" width="14" customWidth="1"/>
    <col min="2" max="2" width="48" customWidth="1"/>
    <col min="3" max="3" width="38" customWidth="1"/>
    <col min="4" max="4" width="27" customWidth="1"/>
    <col min="5" max="5" width="42" customWidth="1"/>
    <col min="6" max="6" width="32.109375" customWidth="1"/>
    <col min="7" max="26" width="8.77734375" customWidth="1"/>
  </cols>
  <sheetData>
    <row r="1" spans="1:6" ht="33.75" customHeight="1">
      <c r="A1" s="45" t="s">
        <v>133</v>
      </c>
      <c r="B1" s="26"/>
      <c r="C1" s="26"/>
      <c r="D1" s="26"/>
      <c r="E1" s="26"/>
      <c r="F1" s="27"/>
    </row>
    <row r="2" spans="1:6" ht="30" customHeight="1">
      <c r="A2" s="46" t="s">
        <v>134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36" t="s">
        <v>5</v>
      </c>
      <c r="D5" s="26"/>
      <c r="E5" s="26"/>
      <c r="F5" s="27"/>
    </row>
    <row r="6" spans="1:6" ht="21.75" customHeight="1">
      <c r="A6" s="28" t="s">
        <v>137</v>
      </c>
      <c r="B6" s="27"/>
      <c r="C6" s="36" t="s">
        <v>138</v>
      </c>
      <c r="D6" s="26"/>
      <c r="E6" s="26"/>
      <c r="F6" s="27"/>
    </row>
    <row r="7" spans="1:6" ht="21.75" customHeight="1">
      <c r="A7" s="28" t="s">
        <v>139</v>
      </c>
      <c r="B7" s="27"/>
      <c r="C7" s="36" t="s">
        <v>140</v>
      </c>
      <c r="D7" s="26"/>
      <c r="E7" s="26"/>
      <c r="F7" s="27"/>
    </row>
    <row r="8" spans="1:6" ht="21.75" customHeight="1">
      <c r="A8" s="28" t="s">
        <v>141</v>
      </c>
      <c r="B8" s="27"/>
      <c r="C8" s="36" t="s">
        <v>54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14" t="s">
        <v>146</v>
      </c>
      <c r="C12" s="14" t="s">
        <v>138</v>
      </c>
      <c r="D12" s="14" t="s">
        <v>147</v>
      </c>
      <c r="E12" s="14" t="s">
        <v>148</v>
      </c>
      <c r="F12" s="14" t="s">
        <v>149</v>
      </c>
    </row>
    <row r="13" spans="1:6" ht="36" customHeight="1">
      <c r="A13" s="16">
        <v>2</v>
      </c>
      <c r="B13" s="16" t="s">
        <v>150</v>
      </c>
      <c r="C13" s="14" t="s">
        <v>138</v>
      </c>
      <c r="D13" s="16" t="s">
        <v>147</v>
      </c>
      <c r="E13" s="17" t="s">
        <v>151</v>
      </c>
      <c r="F13" s="16" t="s">
        <v>152</v>
      </c>
    </row>
    <row r="14" spans="1:6" ht="36" customHeight="1">
      <c r="A14" s="14">
        <v>3</v>
      </c>
      <c r="B14" s="14" t="s">
        <v>153</v>
      </c>
      <c r="C14" s="14" t="s">
        <v>138</v>
      </c>
      <c r="D14" s="14" t="s">
        <v>147</v>
      </c>
      <c r="E14" s="18" t="s">
        <v>154</v>
      </c>
      <c r="F14" s="14" t="s">
        <v>155</v>
      </c>
    </row>
    <row r="15" spans="1:6" ht="36" customHeight="1">
      <c r="A15" s="16">
        <v>4</v>
      </c>
      <c r="B15" s="16" t="s">
        <v>156</v>
      </c>
      <c r="C15" s="14" t="s">
        <v>138</v>
      </c>
      <c r="D15" s="16" t="s">
        <v>147</v>
      </c>
      <c r="E15" s="16" t="s">
        <v>157</v>
      </c>
      <c r="F15" s="16" t="s">
        <v>158</v>
      </c>
    </row>
    <row r="16" spans="1:6" ht="36" customHeight="1">
      <c r="A16" s="14">
        <v>5</v>
      </c>
      <c r="B16" s="14" t="s">
        <v>159</v>
      </c>
      <c r="C16" s="14" t="s">
        <v>138</v>
      </c>
      <c r="D16" s="14" t="s">
        <v>147</v>
      </c>
      <c r="E16" s="14" t="s">
        <v>13</v>
      </c>
      <c r="F16" s="14" t="s">
        <v>160</v>
      </c>
    </row>
    <row r="17" spans="1:6" ht="37.5" customHeight="1">
      <c r="A17" s="16"/>
      <c r="B17" s="16"/>
      <c r="C17" s="14"/>
      <c r="D17" s="16"/>
      <c r="E17" s="8"/>
      <c r="F17" s="8"/>
    </row>
    <row r="18" spans="1:6" ht="49.95" customHeight="1">
      <c r="A18" s="14"/>
      <c r="B18" s="14"/>
      <c r="C18" s="14"/>
      <c r="D18" s="14"/>
      <c r="E18" s="8"/>
      <c r="F18" s="14"/>
    </row>
    <row r="19" spans="1:6" ht="36" customHeight="1">
      <c r="A19" s="16"/>
      <c r="B19" s="16"/>
      <c r="C19" s="16"/>
      <c r="D19" s="16"/>
      <c r="E19" s="16"/>
      <c r="F19" s="1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35.2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37.5" customHeight="1">
      <c r="A23" s="16">
        <v>1</v>
      </c>
      <c r="B23" s="16" t="s">
        <v>165</v>
      </c>
      <c r="C23" s="16" t="s">
        <v>166</v>
      </c>
      <c r="D23" s="39" t="s">
        <v>167</v>
      </c>
      <c r="E23" s="27"/>
      <c r="F23" s="3"/>
    </row>
    <row r="24" spans="1:6" ht="37.5" customHeight="1">
      <c r="A24" s="14">
        <v>2</v>
      </c>
      <c r="B24" s="14" t="s">
        <v>168</v>
      </c>
      <c r="C24" s="14" t="s">
        <v>166</v>
      </c>
      <c r="D24" s="36" t="s">
        <v>169</v>
      </c>
      <c r="E24" s="27"/>
      <c r="F24" s="5"/>
    </row>
    <row r="25" spans="1:6" ht="38.25" customHeight="1">
      <c r="A25" s="16">
        <v>3</v>
      </c>
      <c r="B25" s="16" t="s">
        <v>170</v>
      </c>
      <c r="C25" s="16" t="s">
        <v>166</v>
      </c>
      <c r="D25" s="39" t="s">
        <v>171</v>
      </c>
      <c r="E25" s="27"/>
      <c r="F25" s="3"/>
    </row>
    <row r="26" spans="1:6" ht="40.5" customHeight="1">
      <c r="A26" s="14">
        <v>4</v>
      </c>
      <c r="B26" s="14" t="s">
        <v>172</v>
      </c>
      <c r="C26" s="14" t="s">
        <v>166</v>
      </c>
      <c r="D26" s="36" t="s">
        <v>173</v>
      </c>
      <c r="E26" s="27"/>
      <c r="F26" s="5"/>
    </row>
    <row r="27" spans="1:6" ht="37.5" customHeight="1">
      <c r="A27" s="16">
        <v>5</v>
      </c>
      <c r="B27" s="16" t="s">
        <v>174</v>
      </c>
      <c r="C27" s="16" t="s">
        <v>166</v>
      </c>
      <c r="D27" s="39" t="s">
        <v>175</v>
      </c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90" customHeight="1">
      <c r="A31" s="16">
        <v>1</v>
      </c>
      <c r="B31" s="16" t="s">
        <v>182</v>
      </c>
      <c r="C31" s="16" t="s">
        <v>183</v>
      </c>
      <c r="D31" s="16" t="s">
        <v>184</v>
      </c>
      <c r="E31" s="16" t="s">
        <v>140</v>
      </c>
      <c r="F31" s="9" t="s">
        <v>185</v>
      </c>
    </row>
    <row r="32" spans="1:6" ht="92.25" customHeight="1">
      <c r="A32" s="14">
        <v>2</v>
      </c>
      <c r="B32" s="10" t="s">
        <v>186</v>
      </c>
      <c r="C32" s="14" t="s">
        <v>187</v>
      </c>
      <c r="D32" s="10" t="s">
        <v>188</v>
      </c>
      <c r="E32" s="14" t="s">
        <v>140</v>
      </c>
      <c r="F32" s="10" t="s">
        <v>189</v>
      </c>
    </row>
    <row r="33" spans="1:6" ht="127.5" customHeight="1">
      <c r="A33" s="16">
        <v>3</v>
      </c>
      <c r="B33" s="16" t="s">
        <v>190</v>
      </c>
      <c r="C33" s="16" t="s">
        <v>183</v>
      </c>
      <c r="D33" s="10" t="s">
        <v>191</v>
      </c>
      <c r="E33" s="16" t="s">
        <v>140</v>
      </c>
      <c r="F33" s="8" t="s">
        <v>192</v>
      </c>
    </row>
    <row r="34" spans="1:6" ht="105" customHeight="1">
      <c r="A34" s="14"/>
      <c r="B34" s="14"/>
      <c r="C34" s="14"/>
      <c r="D34" s="10"/>
      <c r="E34" s="14"/>
      <c r="F34" s="14"/>
    </row>
    <row r="35" spans="1:6" ht="75.75" customHeight="1"/>
    <row r="36" spans="1:6" ht="24" customHeight="1">
      <c r="A36" s="28" t="s">
        <v>193</v>
      </c>
      <c r="B36" s="26"/>
      <c r="C36" s="27"/>
      <c r="D36" s="36">
        <v>3</v>
      </c>
      <c r="E36" s="26"/>
      <c r="F36" s="27"/>
    </row>
    <row r="37" spans="1:6" ht="21.75" customHeight="1">
      <c r="A37" s="28" t="s">
        <v>194</v>
      </c>
      <c r="B37" s="26"/>
      <c r="C37" s="27"/>
      <c r="D37" s="36">
        <v>3</v>
      </c>
      <c r="E37" s="26"/>
      <c r="F37" s="27"/>
    </row>
    <row r="38" spans="1:6" ht="21.75" customHeight="1">
      <c r="A38" s="28" t="s">
        <v>195</v>
      </c>
      <c r="B38" s="26"/>
      <c r="C38" s="27"/>
      <c r="D38" s="36">
        <v>0</v>
      </c>
      <c r="E38" s="26"/>
      <c r="F38" s="27"/>
    </row>
    <row r="39" spans="1:6" ht="21.75" customHeight="1">
      <c r="A39" s="28" t="s">
        <v>196</v>
      </c>
      <c r="B39" s="26"/>
      <c r="C39" s="27"/>
      <c r="D39" s="36">
        <v>0</v>
      </c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116.25" customHeight="1">
      <c r="A43" s="16" t="s">
        <v>24</v>
      </c>
      <c r="B43" s="16">
        <v>9</v>
      </c>
      <c r="C43" s="16" t="s">
        <v>203</v>
      </c>
      <c r="D43" s="8" t="s">
        <v>204</v>
      </c>
      <c r="E43" s="16" t="s">
        <v>205</v>
      </c>
      <c r="F43" s="16"/>
    </row>
    <row r="44" spans="1:6" ht="103.5" customHeight="1">
      <c r="A44" s="14" t="s">
        <v>27</v>
      </c>
      <c r="B44" s="14">
        <v>9</v>
      </c>
      <c r="C44" s="8" t="s">
        <v>206</v>
      </c>
      <c r="D44" s="14" t="s">
        <v>207</v>
      </c>
      <c r="E44" s="14" t="s">
        <v>208</v>
      </c>
      <c r="F44" s="14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215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A54:F54"/>
    <mergeCell ref="A48:B48"/>
    <mergeCell ref="C52:F52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C23:C27" xr:uid="{00000000-0002-0000-0200-000000000000}">
      <formula1>"Có,Chưa,Đang làm"</formula1>
    </dataValidation>
    <dataValidation type="list" allowBlank="1" sqref="D12:D19" xr:uid="{00000000-0002-0000-0200-000001000000}">
      <formula1>"Chưa bắt đầu,Đang thực hiện,Hoàn thành,Bị trì hoãn"</formula1>
    </dataValidation>
    <dataValidation type="list" allowBlank="1" sqref="C31:C34" xr:uid="{00000000-0002-0000-0200-000002000000}">
      <formula1>"DECISION,PROBLEM-SOLVING,VERIFICATION"</formula1>
    </dataValidation>
    <dataValidation type="list" allowBlank="1" sqref="E31:E34" xr:uid="{00000000-0002-0000-0200-000003000000}">
      <formula1>"Có,Không"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topLeftCell="A29" workbookViewId="0">
      <selection activeCell="C67" sqref="C67"/>
    </sheetView>
  </sheetViews>
  <sheetFormatPr defaultColWidth="14.44140625" defaultRowHeight="15" customHeight="1"/>
  <cols>
    <col min="1" max="1" width="14" customWidth="1"/>
    <col min="2" max="2" width="48" customWidth="1"/>
    <col min="3" max="3" width="38" customWidth="1"/>
    <col min="4" max="4" width="22" customWidth="1"/>
    <col min="5" max="5" width="42" customWidth="1"/>
    <col min="6" max="6" width="32" customWidth="1"/>
    <col min="7" max="26" width="8.77734375" customWidth="1"/>
  </cols>
  <sheetData>
    <row r="1" spans="1:6" ht="33.75" customHeight="1">
      <c r="A1" s="45" t="s">
        <v>216</v>
      </c>
      <c r="B1" s="26"/>
      <c r="C1" s="26"/>
      <c r="D1" s="26"/>
      <c r="E1" s="26"/>
      <c r="F1" s="27"/>
    </row>
    <row r="2" spans="1:6" ht="30" customHeight="1">
      <c r="A2" s="46" t="s">
        <v>217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36" t="s">
        <v>5</v>
      </c>
      <c r="D5" s="26"/>
      <c r="E5" s="26"/>
      <c r="F5" s="27"/>
    </row>
    <row r="6" spans="1:6" ht="21.75" customHeight="1">
      <c r="A6" s="28" t="s">
        <v>137</v>
      </c>
      <c r="B6" s="27"/>
      <c r="C6" s="36" t="s">
        <v>138</v>
      </c>
      <c r="D6" s="26"/>
      <c r="E6" s="26"/>
      <c r="F6" s="27"/>
    </row>
    <row r="7" spans="1:6" ht="21.75" customHeight="1">
      <c r="A7" s="28" t="s">
        <v>139</v>
      </c>
      <c r="B7" s="27"/>
      <c r="C7" s="36" t="s">
        <v>140</v>
      </c>
      <c r="D7" s="26"/>
      <c r="E7" s="26"/>
      <c r="F7" s="27"/>
    </row>
    <row r="8" spans="1:6" ht="21.75" customHeight="1">
      <c r="A8" s="28" t="s">
        <v>141</v>
      </c>
      <c r="B8" s="27"/>
      <c r="C8" s="36" t="s">
        <v>58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14" t="s">
        <v>218</v>
      </c>
      <c r="C12" s="14" t="s">
        <v>138</v>
      </c>
      <c r="D12" s="14" t="s">
        <v>147</v>
      </c>
      <c r="E12" s="14" t="s">
        <v>219</v>
      </c>
      <c r="F12" s="14" t="s">
        <v>220</v>
      </c>
    </row>
    <row r="13" spans="1:6" ht="36" customHeight="1">
      <c r="A13" s="16">
        <v>2</v>
      </c>
      <c r="B13" s="16" t="s">
        <v>221</v>
      </c>
      <c r="C13" s="16" t="s">
        <v>138</v>
      </c>
      <c r="D13" s="16" t="s">
        <v>147</v>
      </c>
      <c r="E13" s="16" t="s">
        <v>222</v>
      </c>
      <c r="F13" s="16" t="s">
        <v>223</v>
      </c>
    </row>
    <row r="14" spans="1:6" ht="36" customHeight="1">
      <c r="A14" s="14">
        <v>3</v>
      </c>
      <c r="B14" s="14" t="s">
        <v>224</v>
      </c>
      <c r="C14" s="14" t="s">
        <v>138</v>
      </c>
      <c r="D14" s="14" t="s">
        <v>147</v>
      </c>
      <c r="E14" s="14" t="s">
        <v>225</v>
      </c>
      <c r="F14" s="14" t="s">
        <v>226</v>
      </c>
    </row>
    <row r="15" spans="1:6" ht="36" customHeight="1">
      <c r="A15" s="16">
        <v>4</v>
      </c>
      <c r="B15" s="16" t="s">
        <v>227</v>
      </c>
      <c r="C15" s="16" t="s">
        <v>138</v>
      </c>
      <c r="D15" s="16" t="s">
        <v>147</v>
      </c>
      <c r="E15" s="16" t="s">
        <v>228</v>
      </c>
      <c r="F15" s="16" t="s">
        <v>229</v>
      </c>
    </row>
    <row r="16" spans="1:6" ht="36" customHeight="1">
      <c r="A16" s="14">
        <v>5</v>
      </c>
      <c r="B16" s="14" t="s">
        <v>230</v>
      </c>
      <c r="C16" s="14" t="s">
        <v>138</v>
      </c>
      <c r="D16" s="14" t="s">
        <v>147</v>
      </c>
      <c r="E16" s="14" t="s">
        <v>231</v>
      </c>
      <c r="F16" s="14" t="s">
        <v>232</v>
      </c>
    </row>
    <row r="17" spans="1:6" ht="36" customHeight="1">
      <c r="A17" s="16"/>
      <c r="B17" s="16"/>
      <c r="C17" s="16"/>
      <c r="D17" s="16"/>
      <c r="E17" s="16"/>
      <c r="F17" s="16"/>
    </row>
    <row r="18" spans="1:6" ht="36" customHeight="1">
      <c r="A18" s="14"/>
      <c r="B18" s="14"/>
      <c r="C18" s="14"/>
      <c r="D18" s="14"/>
      <c r="E18" s="14"/>
      <c r="F18" s="14"/>
    </row>
    <row r="19" spans="1:6" ht="36" customHeight="1">
      <c r="A19" s="16"/>
      <c r="B19" s="16"/>
      <c r="C19" s="16"/>
      <c r="D19" s="16"/>
      <c r="E19" s="16"/>
      <c r="F19" s="1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21.7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37.5" customHeight="1">
      <c r="A23" s="16">
        <v>1</v>
      </c>
      <c r="B23" s="16" t="s">
        <v>233</v>
      </c>
      <c r="C23" s="16" t="s">
        <v>166</v>
      </c>
      <c r="D23" s="39" t="s">
        <v>219</v>
      </c>
      <c r="E23" s="27"/>
      <c r="F23" s="3"/>
    </row>
    <row r="24" spans="1:6" ht="25.05" customHeight="1">
      <c r="A24" s="14">
        <v>2</v>
      </c>
      <c r="B24" s="14" t="s">
        <v>234</v>
      </c>
      <c r="C24" s="14" t="s">
        <v>166</v>
      </c>
      <c r="D24" s="36" t="s">
        <v>235</v>
      </c>
      <c r="E24" s="27"/>
      <c r="F24" s="5"/>
    </row>
    <row r="25" spans="1:6" ht="25.05" customHeight="1">
      <c r="A25" s="16">
        <v>3</v>
      </c>
      <c r="B25" s="16" t="s">
        <v>236</v>
      </c>
      <c r="C25" s="16" t="s">
        <v>166</v>
      </c>
      <c r="D25" s="39" t="s">
        <v>237</v>
      </c>
      <c r="E25" s="27"/>
      <c r="F25" s="3"/>
    </row>
    <row r="26" spans="1:6" ht="25.05" customHeight="1">
      <c r="A26" s="14">
        <v>4</v>
      </c>
      <c r="B26" s="14" t="s">
        <v>238</v>
      </c>
      <c r="C26" s="14" t="s">
        <v>166</v>
      </c>
      <c r="D26" s="36" t="s">
        <v>239</v>
      </c>
      <c r="E26" s="27"/>
      <c r="F26" s="5"/>
    </row>
    <row r="27" spans="1:6" ht="25.05" customHeight="1">
      <c r="A27" s="16">
        <v>5</v>
      </c>
      <c r="B27" s="16" t="s">
        <v>240</v>
      </c>
      <c r="C27" s="16" t="s">
        <v>166</v>
      </c>
      <c r="D27" s="39" t="s">
        <v>241</v>
      </c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33.75" customHeight="1">
      <c r="A31" s="16">
        <v>1</v>
      </c>
      <c r="B31" s="16" t="s">
        <v>242</v>
      </c>
      <c r="C31" s="16" t="s">
        <v>183</v>
      </c>
      <c r="D31" s="16" t="s">
        <v>243</v>
      </c>
      <c r="E31" s="16" t="s">
        <v>140</v>
      </c>
      <c r="F31" s="16" t="s">
        <v>244</v>
      </c>
    </row>
    <row r="32" spans="1:6" ht="33.75" customHeight="1">
      <c r="A32" s="14">
        <v>2</v>
      </c>
      <c r="B32" s="14" t="s">
        <v>245</v>
      </c>
      <c r="C32" s="14" t="s">
        <v>183</v>
      </c>
      <c r="D32" s="14" t="s">
        <v>246</v>
      </c>
      <c r="E32" s="14" t="s">
        <v>140</v>
      </c>
      <c r="F32" s="14" t="s">
        <v>247</v>
      </c>
    </row>
    <row r="33" spans="1:6" ht="33.75" customHeight="1">
      <c r="A33" s="16">
        <v>3</v>
      </c>
      <c r="B33" s="16" t="s">
        <v>248</v>
      </c>
      <c r="C33" s="16" t="s">
        <v>187</v>
      </c>
      <c r="D33" s="16" t="s">
        <v>246</v>
      </c>
      <c r="E33" s="16" t="s">
        <v>140</v>
      </c>
      <c r="F33" s="16" t="s">
        <v>249</v>
      </c>
    </row>
    <row r="34" spans="1:6" ht="33.75" customHeight="1">
      <c r="A34" s="14"/>
      <c r="B34" s="14"/>
      <c r="C34" s="14"/>
      <c r="D34" s="14"/>
      <c r="E34" s="14"/>
      <c r="F34" s="14"/>
    </row>
    <row r="35" spans="1:6" ht="7.5" customHeight="1"/>
    <row r="36" spans="1:6" ht="21.75" customHeight="1">
      <c r="A36" s="28" t="s">
        <v>193</v>
      </c>
      <c r="B36" s="26"/>
      <c r="C36" s="27"/>
      <c r="D36" s="36">
        <v>3</v>
      </c>
      <c r="E36" s="26"/>
      <c r="F36" s="27"/>
    </row>
    <row r="37" spans="1:6" ht="21.75" customHeight="1">
      <c r="A37" s="28" t="s">
        <v>194</v>
      </c>
      <c r="B37" s="26"/>
      <c r="C37" s="27"/>
      <c r="D37" s="36">
        <v>6</v>
      </c>
      <c r="E37" s="26"/>
      <c r="F37" s="27"/>
    </row>
    <row r="38" spans="1:6" ht="21.75" customHeight="1">
      <c r="A38" s="28" t="s">
        <v>195</v>
      </c>
      <c r="B38" s="26"/>
      <c r="C38" s="27"/>
      <c r="D38" s="36">
        <v>0</v>
      </c>
      <c r="E38" s="26"/>
      <c r="F38" s="27"/>
    </row>
    <row r="39" spans="1:6" ht="21.75" customHeight="1">
      <c r="A39" s="28" t="s">
        <v>196</v>
      </c>
      <c r="B39" s="26"/>
      <c r="C39" s="27"/>
      <c r="D39" s="36">
        <v>0</v>
      </c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39.75" customHeight="1">
      <c r="A43" s="16" t="s">
        <v>24</v>
      </c>
      <c r="B43" s="16">
        <v>9</v>
      </c>
      <c r="C43" s="16" t="s">
        <v>250</v>
      </c>
      <c r="D43" s="16" t="s">
        <v>251</v>
      </c>
      <c r="E43" s="16" t="s">
        <v>252</v>
      </c>
      <c r="F43" s="16"/>
    </row>
    <row r="44" spans="1:6" ht="39.75" customHeight="1">
      <c r="A44" s="14" t="s">
        <v>27</v>
      </c>
      <c r="B44" s="14">
        <v>9</v>
      </c>
      <c r="C44" s="14" t="s">
        <v>253</v>
      </c>
      <c r="D44" s="14" t="s">
        <v>254</v>
      </c>
      <c r="E44" s="14" t="s">
        <v>255</v>
      </c>
      <c r="F44" s="14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256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A54:F54"/>
    <mergeCell ref="A48:B48"/>
    <mergeCell ref="C52:F52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C23:C27" xr:uid="{00000000-0002-0000-0300-000000000000}">
      <formula1>"Có,Chưa,Đang làm"</formula1>
    </dataValidation>
    <dataValidation type="list" allowBlank="1" sqref="D12:D19" xr:uid="{00000000-0002-0000-0300-000001000000}">
      <formula1>"Chưa bắt đầu,Đang thực hiện,Hoàn thành,Bị trì hoãn"</formula1>
    </dataValidation>
    <dataValidation type="list" allowBlank="1" sqref="C31:C34" xr:uid="{00000000-0002-0000-0300-000002000000}">
      <formula1>"DECISION,PROBLEM-SOLVING,VERIFICATION"</formula1>
    </dataValidation>
    <dataValidation type="list" allowBlank="1" sqref="E31:E34" xr:uid="{00000000-0002-0000-0300-000003000000}">
      <formula1>"Có,Không"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workbookViewId="0">
      <selection activeCell="C46" sqref="C46"/>
    </sheetView>
  </sheetViews>
  <sheetFormatPr defaultColWidth="14.44140625" defaultRowHeight="15" customHeight="1"/>
  <cols>
    <col min="1" max="1" width="14" customWidth="1"/>
    <col min="2" max="2" width="48" customWidth="1"/>
    <col min="3" max="3" width="38" customWidth="1"/>
    <col min="4" max="4" width="22" customWidth="1"/>
    <col min="5" max="5" width="42" customWidth="1"/>
    <col min="6" max="6" width="32" customWidth="1"/>
    <col min="7" max="26" width="8.77734375" customWidth="1"/>
  </cols>
  <sheetData>
    <row r="1" spans="1:6" ht="33.75" customHeight="1">
      <c r="A1" s="45" t="s">
        <v>257</v>
      </c>
      <c r="B1" s="26"/>
      <c r="C1" s="26"/>
      <c r="D1" s="26"/>
      <c r="E1" s="26"/>
      <c r="F1" s="27"/>
    </row>
    <row r="2" spans="1:6" ht="30" customHeight="1">
      <c r="A2" s="46" t="s">
        <v>258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36" t="s">
        <v>5</v>
      </c>
      <c r="D5" s="26"/>
      <c r="E5" s="26"/>
      <c r="F5" s="27"/>
    </row>
    <row r="6" spans="1:6" ht="21.75" customHeight="1">
      <c r="A6" s="28" t="s">
        <v>137</v>
      </c>
      <c r="B6" s="27"/>
      <c r="C6" s="36" t="s">
        <v>138</v>
      </c>
      <c r="D6" s="26"/>
      <c r="E6" s="26"/>
      <c r="F6" s="27"/>
    </row>
    <row r="7" spans="1:6" ht="21.75" customHeight="1">
      <c r="A7" s="28" t="s">
        <v>139</v>
      </c>
      <c r="B7" s="27"/>
      <c r="C7" s="36" t="s">
        <v>140</v>
      </c>
      <c r="D7" s="26"/>
      <c r="E7" s="26"/>
      <c r="F7" s="27"/>
    </row>
    <row r="8" spans="1:6" ht="21.75" customHeight="1">
      <c r="A8" s="28" t="s">
        <v>141</v>
      </c>
      <c r="B8" s="27"/>
      <c r="C8" s="36" t="s">
        <v>61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14" t="s">
        <v>259</v>
      </c>
      <c r="C12" s="14" t="s">
        <v>138</v>
      </c>
      <c r="D12" s="14" t="s">
        <v>147</v>
      </c>
      <c r="E12" s="14" t="s">
        <v>260</v>
      </c>
      <c r="F12" s="14" t="s">
        <v>261</v>
      </c>
    </row>
    <row r="13" spans="1:6" ht="36" customHeight="1">
      <c r="A13" s="16">
        <v>2</v>
      </c>
      <c r="B13" s="16" t="s">
        <v>262</v>
      </c>
      <c r="C13" s="16" t="s">
        <v>138</v>
      </c>
      <c r="D13" s="16" t="s">
        <v>147</v>
      </c>
      <c r="E13" s="16" t="s">
        <v>260</v>
      </c>
      <c r="F13" s="16" t="s">
        <v>263</v>
      </c>
    </row>
    <row r="14" spans="1:6" ht="36" customHeight="1">
      <c r="A14" s="14">
        <v>3</v>
      </c>
      <c r="B14" s="14" t="s">
        <v>264</v>
      </c>
      <c r="C14" s="14" t="s">
        <v>138</v>
      </c>
      <c r="D14" s="14" t="s">
        <v>147</v>
      </c>
      <c r="E14" s="14" t="s">
        <v>260</v>
      </c>
      <c r="F14" s="14" t="s">
        <v>265</v>
      </c>
    </row>
    <row r="15" spans="1:6" ht="36" customHeight="1">
      <c r="A15" s="16">
        <v>4</v>
      </c>
      <c r="B15" s="16" t="s">
        <v>266</v>
      </c>
      <c r="C15" s="16" t="s">
        <v>138</v>
      </c>
      <c r="D15" s="16" t="s">
        <v>147</v>
      </c>
      <c r="E15" s="16" t="s">
        <v>267</v>
      </c>
      <c r="F15" s="16" t="s">
        <v>268</v>
      </c>
    </row>
    <row r="16" spans="1:6" ht="36" customHeight="1">
      <c r="A16" s="14">
        <v>5</v>
      </c>
      <c r="B16" s="14" t="s">
        <v>269</v>
      </c>
      <c r="C16" s="14" t="s">
        <v>138</v>
      </c>
      <c r="D16" s="14" t="s">
        <v>147</v>
      </c>
      <c r="E16" s="14" t="s">
        <v>270</v>
      </c>
      <c r="F16" s="14" t="s">
        <v>271</v>
      </c>
    </row>
    <row r="17" spans="1:6" ht="36" customHeight="1">
      <c r="A17" s="16">
        <v>6</v>
      </c>
      <c r="B17" s="16" t="s">
        <v>272</v>
      </c>
      <c r="C17" s="16" t="s">
        <v>138</v>
      </c>
      <c r="D17" s="16" t="s">
        <v>147</v>
      </c>
      <c r="E17" s="16" t="s">
        <v>273</v>
      </c>
      <c r="F17" s="16" t="s">
        <v>274</v>
      </c>
    </row>
    <row r="18" spans="1:6" ht="36" customHeight="1">
      <c r="A18" s="14"/>
      <c r="B18" s="14"/>
      <c r="C18" s="14"/>
      <c r="D18" s="14"/>
      <c r="E18" s="14"/>
      <c r="F18" s="14"/>
    </row>
    <row r="19" spans="1:6" ht="36" customHeight="1">
      <c r="A19" s="16"/>
      <c r="B19" s="16"/>
      <c r="C19" s="16"/>
      <c r="D19" s="16"/>
      <c r="E19" s="16"/>
      <c r="F19" s="1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21.7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25.05" customHeight="1">
      <c r="A23" s="16">
        <v>1</v>
      </c>
      <c r="B23" s="16" t="s">
        <v>275</v>
      </c>
      <c r="C23" s="16" t="s">
        <v>166</v>
      </c>
      <c r="D23" s="39" t="s">
        <v>260</v>
      </c>
      <c r="E23" s="27"/>
      <c r="F23" s="3"/>
    </row>
    <row r="24" spans="1:6" ht="25.05" customHeight="1">
      <c r="A24" s="14">
        <v>2</v>
      </c>
      <c r="B24" s="14" t="s">
        <v>276</v>
      </c>
      <c r="C24" s="14" t="s">
        <v>166</v>
      </c>
      <c r="D24" s="36" t="s">
        <v>267</v>
      </c>
      <c r="E24" s="27"/>
      <c r="F24" s="5"/>
    </row>
    <row r="25" spans="1:6" ht="37.5" customHeight="1">
      <c r="A25" s="16">
        <v>3</v>
      </c>
      <c r="B25" s="16" t="s">
        <v>277</v>
      </c>
      <c r="C25" s="16" t="s">
        <v>166</v>
      </c>
      <c r="D25" s="39" t="s">
        <v>278</v>
      </c>
      <c r="E25" s="27"/>
      <c r="F25" s="3"/>
    </row>
    <row r="26" spans="1:6" ht="37.5" customHeight="1">
      <c r="A26" s="14">
        <v>4</v>
      </c>
      <c r="B26" s="14" t="s">
        <v>279</v>
      </c>
      <c r="C26" s="14" t="s">
        <v>166</v>
      </c>
      <c r="D26" s="36" t="s">
        <v>280</v>
      </c>
      <c r="E26" s="27"/>
      <c r="F26" s="5"/>
    </row>
    <row r="27" spans="1:6" ht="30" customHeight="1">
      <c r="A27" s="16">
        <v>5</v>
      </c>
      <c r="B27" s="16" t="s">
        <v>281</v>
      </c>
      <c r="C27" s="16" t="s">
        <v>166</v>
      </c>
      <c r="D27" s="39" t="s">
        <v>282</v>
      </c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33.75" customHeight="1">
      <c r="A31" s="16">
        <v>1</v>
      </c>
      <c r="B31" s="16" t="s">
        <v>283</v>
      </c>
      <c r="C31" s="16" t="s">
        <v>187</v>
      </c>
      <c r="D31" s="16" t="s">
        <v>284</v>
      </c>
      <c r="E31" s="16" t="s">
        <v>166</v>
      </c>
      <c r="F31" s="16" t="s">
        <v>285</v>
      </c>
    </row>
    <row r="32" spans="1:6" ht="33.75" customHeight="1">
      <c r="A32" s="14">
        <v>2</v>
      </c>
      <c r="B32" s="14" t="s">
        <v>286</v>
      </c>
      <c r="C32" s="14" t="s">
        <v>183</v>
      </c>
      <c r="D32" s="14" t="s">
        <v>287</v>
      </c>
      <c r="E32" s="14" t="s">
        <v>140</v>
      </c>
      <c r="F32" s="14" t="s">
        <v>288</v>
      </c>
    </row>
    <row r="33" spans="1:6" ht="33.75" customHeight="1">
      <c r="A33" s="16">
        <v>3</v>
      </c>
      <c r="B33" s="16" t="s">
        <v>289</v>
      </c>
      <c r="C33" s="16" t="s">
        <v>187</v>
      </c>
      <c r="D33" s="16" t="s">
        <v>290</v>
      </c>
      <c r="E33" s="16" t="s">
        <v>140</v>
      </c>
      <c r="F33" s="16" t="s">
        <v>291</v>
      </c>
    </row>
    <row r="34" spans="1:6" ht="33.75" customHeight="1">
      <c r="A34" s="14"/>
      <c r="B34" s="14"/>
      <c r="C34" s="14"/>
      <c r="D34" s="14"/>
      <c r="E34" s="14"/>
      <c r="F34" s="14"/>
    </row>
    <row r="35" spans="1:6" ht="7.5" customHeight="1"/>
    <row r="36" spans="1:6" ht="21.75" customHeight="1">
      <c r="A36" s="28" t="s">
        <v>193</v>
      </c>
      <c r="B36" s="26"/>
      <c r="C36" s="27"/>
      <c r="D36" s="36">
        <v>3</v>
      </c>
      <c r="E36" s="26"/>
      <c r="F36" s="27"/>
    </row>
    <row r="37" spans="1:6" ht="21.75" customHeight="1">
      <c r="A37" s="28" t="s">
        <v>194</v>
      </c>
      <c r="B37" s="26"/>
      <c r="C37" s="27"/>
      <c r="D37" s="36">
        <v>9</v>
      </c>
      <c r="E37" s="26"/>
      <c r="F37" s="27"/>
    </row>
    <row r="38" spans="1:6" ht="21.75" customHeight="1">
      <c r="A38" s="28" t="s">
        <v>195</v>
      </c>
      <c r="B38" s="26"/>
      <c r="C38" s="27"/>
      <c r="D38" s="36">
        <v>1</v>
      </c>
      <c r="E38" s="26"/>
      <c r="F38" s="27"/>
    </row>
    <row r="39" spans="1:6" ht="21.75" customHeight="1">
      <c r="A39" s="28" t="s">
        <v>196</v>
      </c>
      <c r="B39" s="26"/>
      <c r="C39" s="27"/>
      <c r="D39" s="36">
        <v>1</v>
      </c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39.75" customHeight="1">
      <c r="A43" s="16" t="s">
        <v>24</v>
      </c>
      <c r="B43" s="16">
        <v>9</v>
      </c>
      <c r="C43" s="16" t="s">
        <v>292</v>
      </c>
      <c r="D43" s="16" t="s">
        <v>293</v>
      </c>
      <c r="E43" s="16" t="s">
        <v>294</v>
      </c>
      <c r="F43" s="16"/>
    </row>
    <row r="44" spans="1:6" ht="39.75" customHeight="1">
      <c r="A44" s="14" t="s">
        <v>27</v>
      </c>
      <c r="B44" s="14">
        <v>9</v>
      </c>
      <c r="C44" s="14" t="s">
        <v>295</v>
      </c>
      <c r="D44" s="14" t="s">
        <v>296</v>
      </c>
      <c r="E44" s="14" t="s">
        <v>297</v>
      </c>
      <c r="F44" s="14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298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A54:F54"/>
    <mergeCell ref="A48:B48"/>
    <mergeCell ref="C52:F52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C23:C27" xr:uid="{00000000-0002-0000-0400-000000000000}">
      <formula1>"Có,Chưa,Đang làm"</formula1>
    </dataValidation>
    <dataValidation type="list" allowBlank="1" sqref="D12:D19" xr:uid="{00000000-0002-0000-0400-000001000000}">
      <formula1>"Chưa bắt đầu,Đang thực hiện,Hoàn thành,Bị trì hoãn"</formula1>
    </dataValidation>
    <dataValidation type="list" allowBlank="1" sqref="C31:C34" xr:uid="{00000000-0002-0000-0400-000002000000}">
      <formula1>"DECISION,PROBLEM-SOLVING,VERIFICATION"</formula1>
    </dataValidation>
    <dataValidation type="list" allowBlank="1" sqref="E31:E34" xr:uid="{00000000-0002-0000-0400-000003000000}">
      <formula1>"Có,Không"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showGridLines="0" topLeftCell="A32" workbookViewId="0">
      <selection activeCell="A21" sqref="A21:F21"/>
    </sheetView>
  </sheetViews>
  <sheetFormatPr defaultColWidth="14.44140625" defaultRowHeight="15" customHeight="1"/>
  <cols>
    <col min="1" max="1" width="14" customWidth="1"/>
    <col min="2" max="2" width="48" customWidth="1"/>
    <col min="3" max="3" width="38" customWidth="1"/>
    <col min="4" max="4" width="22" customWidth="1"/>
    <col min="5" max="5" width="42" customWidth="1"/>
    <col min="6" max="6" width="32" customWidth="1"/>
    <col min="7" max="26" width="8.77734375" customWidth="1"/>
  </cols>
  <sheetData>
    <row r="1" spans="1:6" ht="33.75" customHeight="1">
      <c r="A1" s="45" t="s">
        <v>299</v>
      </c>
      <c r="B1" s="26"/>
      <c r="C1" s="26"/>
      <c r="D1" s="26"/>
      <c r="E1" s="26"/>
      <c r="F1" s="27"/>
    </row>
    <row r="2" spans="1:6" ht="30" customHeight="1">
      <c r="A2" s="46" t="s">
        <v>300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36" t="s">
        <v>5</v>
      </c>
      <c r="D5" s="26"/>
      <c r="E5" s="26"/>
      <c r="F5" s="27"/>
    </row>
    <row r="6" spans="1:6" ht="21.75" customHeight="1">
      <c r="A6" s="28" t="s">
        <v>137</v>
      </c>
      <c r="B6" s="27"/>
      <c r="C6" s="36" t="s">
        <v>138</v>
      </c>
      <c r="D6" s="26"/>
      <c r="E6" s="26"/>
      <c r="F6" s="27"/>
    </row>
    <row r="7" spans="1:6" ht="21.75" customHeight="1">
      <c r="A7" s="28" t="s">
        <v>139</v>
      </c>
      <c r="B7" s="27"/>
      <c r="C7" s="36" t="s">
        <v>140</v>
      </c>
      <c r="D7" s="26"/>
      <c r="E7" s="26"/>
      <c r="F7" s="27"/>
    </row>
    <row r="8" spans="1:6" ht="21.75" customHeight="1">
      <c r="A8" s="28" t="s">
        <v>141</v>
      </c>
      <c r="B8" s="27"/>
      <c r="C8" s="36" t="s">
        <v>64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14" t="s">
        <v>301</v>
      </c>
      <c r="C12" s="14" t="s">
        <v>138</v>
      </c>
      <c r="D12" s="14" t="s">
        <v>147</v>
      </c>
      <c r="E12" s="14" t="s">
        <v>302</v>
      </c>
      <c r="F12" s="14" t="s">
        <v>303</v>
      </c>
    </row>
    <row r="13" spans="1:6" ht="36" customHeight="1">
      <c r="A13" s="16">
        <v>2</v>
      </c>
      <c r="B13" s="16" t="s">
        <v>304</v>
      </c>
      <c r="C13" s="16" t="s">
        <v>138</v>
      </c>
      <c r="D13" s="16" t="s">
        <v>147</v>
      </c>
      <c r="E13" s="16" t="s">
        <v>305</v>
      </c>
      <c r="F13" s="16" t="s">
        <v>306</v>
      </c>
    </row>
    <row r="14" spans="1:6" ht="36" customHeight="1">
      <c r="A14" s="14">
        <v>3</v>
      </c>
      <c r="B14" s="14" t="s">
        <v>307</v>
      </c>
      <c r="C14" s="14" t="s">
        <v>138</v>
      </c>
      <c r="D14" s="14" t="s">
        <v>147</v>
      </c>
      <c r="E14" s="14" t="s">
        <v>308</v>
      </c>
      <c r="F14" s="14" t="s">
        <v>309</v>
      </c>
    </row>
    <row r="15" spans="1:6" ht="36" customHeight="1">
      <c r="A15" s="16">
        <v>4</v>
      </c>
      <c r="B15" s="16" t="s">
        <v>310</v>
      </c>
      <c r="C15" s="16" t="s">
        <v>138</v>
      </c>
      <c r="D15" s="16" t="s">
        <v>147</v>
      </c>
      <c r="E15" s="16" t="s">
        <v>311</v>
      </c>
      <c r="F15" s="16" t="s">
        <v>312</v>
      </c>
    </row>
    <row r="16" spans="1:6" ht="36" customHeight="1">
      <c r="A16" s="14">
        <v>5</v>
      </c>
      <c r="B16" s="14" t="s">
        <v>313</v>
      </c>
      <c r="C16" s="14" t="s">
        <v>138</v>
      </c>
      <c r="D16" s="14" t="s">
        <v>147</v>
      </c>
      <c r="E16" s="14" t="s">
        <v>314</v>
      </c>
      <c r="F16" s="14" t="s">
        <v>315</v>
      </c>
    </row>
    <row r="17" spans="1:6" ht="36" customHeight="1">
      <c r="A17" s="16">
        <v>6</v>
      </c>
      <c r="B17" s="16" t="s">
        <v>316</v>
      </c>
      <c r="C17" s="16" t="s">
        <v>138</v>
      </c>
      <c r="D17" s="16" t="s">
        <v>147</v>
      </c>
      <c r="E17" s="16" t="s">
        <v>317</v>
      </c>
      <c r="F17" s="16" t="s">
        <v>318</v>
      </c>
    </row>
    <row r="18" spans="1:6" ht="36" customHeight="1">
      <c r="A18" s="14">
        <v>7</v>
      </c>
      <c r="B18" s="14" t="s">
        <v>319</v>
      </c>
      <c r="C18" s="14" t="s">
        <v>138</v>
      </c>
      <c r="D18" s="14" t="s">
        <v>147</v>
      </c>
      <c r="E18" s="14" t="s">
        <v>167</v>
      </c>
      <c r="F18" s="14" t="s">
        <v>320</v>
      </c>
    </row>
    <row r="19" spans="1:6" ht="36" customHeight="1">
      <c r="A19" s="16"/>
      <c r="B19" s="16"/>
      <c r="C19" s="16"/>
      <c r="D19" s="16"/>
      <c r="E19" s="16"/>
      <c r="F19" s="1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21.7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25.05" customHeight="1">
      <c r="A23" s="16">
        <v>1</v>
      </c>
      <c r="B23" s="16" t="s">
        <v>321</v>
      </c>
      <c r="C23" s="16" t="s">
        <v>166</v>
      </c>
      <c r="D23" s="39" t="s">
        <v>322</v>
      </c>
      <c r="E23" s="27"/>
      <c r="F23" s="3"/>
    </row>
    <row r="24" spans="1:6" ht="37.5" customHeight="1">
      <c r="A24" s="14">
        <v>2</v>
      </c>
      <c r="B24" s="14" t="s">
        <v>323</v>
      </c>
      <c r="C24" s="14" t="s">
        <v>166</v>
      </c>
      <c r="D24" s="36" t="s">
        <v>324</v>
      </c>
      <c r="E24" s="27"/>
      <c r="F24" s="5"/>
    </row>
    <row r="25" spans="1:6" ht="37.5" customHeight="1">
      <c r="A25" s="16">
        <v>3</v>
      </c>
      <c r="B25" s="16" t="s">
        <v>325</v>
      </c>
      <c r="C25" s="16" t="s">
        <v>166</v>
      </c>
      <c r="D25" s="39" t="s">
        <v>326</v>
      </c>
      <c r="E25" s="27"/>
      <c r="F25" s="3"/>
    </row>
    <row r="26" spans="1:6" ht="25.05" customHeight="1">
      <c r="A26" s="14">
        <v>4</v>
      </c>
      <c r="B26" s="14" t="s">
        <v>327</v>
      </c>
      <c r="C26" s="14" t="s">
        <v>166</v>
      </c>
      <c r="D26" s="36" t="s">
        <v>328</v>
      </c>
      <c r="E26" s="27"/>
      <c r="F26" s="5"/>
    </row>
    <row r="27" spans="1:6" ht="37.5" customHeight="1">
      <c r="A27" s="16">
        <v>5</v>
      </c>
      <c r="B27" s="16" t="s">
        <v>329</v>
      </c>
      <c r="C27" s="16" t="s">
        <v>166</v>
      </c>
      <c r="D27" s="39" t="s">
        <v>167</v>
      </c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33.75" customHeight="1">
      <c r="A31" s="16">
        <v>1</v>
      </c>
      <c r="B31" s="16" t="s">
        <v>330</v>
      </c>
      <c r="C31" s="16" t="s">
        <v>331</v>
      </c>
      <c r="D31" s="16" t="s">
        <v>332</v>
      </c>
      <c r="E31" s="16" t="s">
        <v>140</v>
      </c>
      <c r="F31" s="16" t="s">
        <v>333</v>
      </c>
    </row>
    <row r="32" spans="1:6" ht="33.75" customHeight="1">
      <c r="A32" s="14">
        <v>2</v>
      </c>
      <c r="B32" s="14" t="s">
        <v>334</v>
      </c>
      <c r="C32" s="14" t="s">
        <v>187</v>
      </c>
      <c r="D32" s="14" t="s">
        <v>335</v>
      </c>
      <c r="E32" s="14" t="s">
        <v>140</v>
      </c>
      <c r="F32" s="14" t="s">
        <v>336</v>
      </c>
    </row>
    <row r="33" spans="1:6" ht="33.75" customHeight="1">
      <c r="A33" s="16">
        <v>3</v>
      </c>
      <c r="B33" s="16" t="s">
        <v>337</v>
      </c>
      <c r="C33" s="16" t="s">
        <v>338</v>
      </c>
      <c r="D33" s="16" t="s">
        <v>339</v>
      </c>
      <c r="E33" s="16" t="s">
        <v>140</v>
      </c>
      <c r="F33" s="16" t="s">
        <v>340</v>
      </c>
    </row>
    <row r="34" spans="1:6" ht="33.75" customHeight="1">
      <c r="A34" s="14">
        <v>4</v>
      </c>
      <c r="B34" s="14" t="s">
        <v>341</v>
      </c>
      <c r="C34" s="14" t="s">
        <v>183</v>
      </c>
      <c r="D34" s="14" t="s">
        <v>342</v>
      </c>
      <c r="E34" s="14" t="s">
        <v>140</v>
      </c>
      <c r="F34" s="14" t="s">
        <v>343</v>
      </c>
    </row>
    <row r="35" spans="1:6" ht="7.5" customHeight="1"/>
    <row r="36" spans="1:6" ht="21.75" customHeight="1">
      <c r="A36" s="28" t="s">
        <v>193</v>
      </c>
      <c r="B36" s="26"/>
      <c r="C36" s="27"/>
      <c r="D36" s="36">
        <v>4</v>
      </c>
      <c r="E36" s="26"/>
      <c r="F36" s="27"/>
    </row>
    <row r="37" spans="1:6" ht="21.75" customHeight="1">
      <c r="A37" s="28" t="s">
        <v>194</v>
      </c>
      <c r="B37" s="26"/>
      <c r="C37" s="27"/>
      <c r="D37" s="36">
        <v>13</v>
      </c>
      <c r="E37" s="26"/>
      <c r="F37" s="27"/>
    </row>
    <row r="38" spans="1:6" ht="21.75" customHeight="1">
      <c r="A38" s="28" t="s">
        <v>195</v>
      </c>
      <c r="B38" s="26"/>
      <c r="C38" s="27"/>
      <c r="D38" s="36">
        <v>1</v>
      </c>
      <c r="E38" s="26"/>
      <c r="F38" s="27"/>
    </row>
    <row r="39" spans="1:6" ht="21.75" customHeight="1">
      <c r="A39" s="28" t="s">
        <v>196</v>
      </c>
      <c r="B39" s="26"/>
      <c r="C39" s="27"/>
      <c r="D39" s="36">
        <v>2</v>
      </c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39.75" customHeight="1">
      <c r="A43" s="16" t="s">
        <v>24</v>
      </c>
      <c r="B43" s="16">
        <v>10</v>
      </c>
      <c r="C43" s="16" t="s">
        <v>344</v>
      </c>
      <c r="D43" s="16" t="s">
        <v>345</v>
      </c>
      <c r="E43" s="16" t="s">
        <v>346</v>
      </c>
      <c r="F43" s="16"/>
    </row>
    <row r="44" spans="1:6" ht="39.75" customHeight="1">
      <c r="A44" s="14" t="s">
        <v>27</v>
      </c>
      <c r="B44" s="14">
        <v>10</v>
      </c>
      <c r="C44" s="14" t="s">
        <v>347</v>
      </c>
      <c r="D44" s="14" t="s">
        <v>348</v>
      </c>
      <c r="E44" s="14" t="s">
        <v>349</v>
      </c>
      <c r="F44" s="14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350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A54:F54"/>
    <mergeCell ref="A48:B48"/>
    <mergeCell ref="C52:F52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C23:C27" xr:uid="{00000000-0002-0000-0500-000000000000}">
      <formula1>"Có,Chưa,Đang làm"</formula1>
    </dataValidation>
    <dataValidation type="list" allowBlank="1" sqref="D12:D19" xr:uid="{00000000-0002-0000-0500-000001000000}">
      <formula1>"Chưa bắt đầu,Đang thực hiện,Hoàn thành,Bị trì hoãn"</formula1>
    </dataValidation>
    <dataValidation type="list" allowBlank="1" sqref="C31:C34" xr:uid="{00000000-0002-0000-0500-000002000000}">
      <formula1>"DECISION,PROBLEM-SOLVING,VERIFICATION"</formula1>
    </dataValidation>
    <dataValidation type="list" allowBlank="1" sqref="E31:E34" xr:uid="{00000000-0002-0000-0500-000003000000}">
      <formula1>"Có,Không"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showGridLines="0" workbookViewId="0">
      <selection activeCell="G64" sqref="G64"/>
    </sheetView>
  </sheetViews>
  <sheetFormatPr defaultColWidth="14.44140625" defaultRowHeight="15" customHeight="1"/>
  <cols>
    <col min="1" max="1" width="14" customWidth="1"/>
    <col min="2" max="2" width="48" customWidth="1"/>
    <col min="3" max="3" width="38" customWidth="1"/>
    <col min="4" max="4" width="22" customWidth="1"/>
    <col min="5" max="5" width="42" customWidth="1"/>
    <col min="6" max="6" width="32" customWidth="1"/>
    <col min="7" max="26" width="8.77734375" customWidth="1"/>
  </cols>
  <sheetData>
    <row r="1" spans="1:6" ht="33.75" customHeight="1">
      <c r="A1" s="45" t="s">
        <v>351</v>
      </c>
      <c r="B1" s="26"/>
      <c r="C1" s="26"/>
      <c r="D1" s="26"/>
      <c r="E1" s="26"/>
      <c r="F1" s="27"/>
    </row>
    <row r="2" spans="1:6" ht="30" customHeight="1">
      <c r="A2" s="46" t="s">
        <v>352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48"/>
      <c r="D5" s="26"/>
      <c r="E5" s="26"/>
      <c r="F5" s="27"/>
    </row>
    <row r="6" spans="1:6" ht="21.75" customHeight="1">
      <c r="A6" s="28" t="s">
        <v>137</v>
      </c>
      <c r="B6" s="27"/>
      <c r="C6" s="48"/>
      <c r="D6" s="26"/>
      <c r="E6" s="26"/>
      <c r="F6" s="27"/>
    </row>
    <row r="7" spans="1:6" ht="21.75" customHeight="1">
      <c r="A7" s="28" t="s">
        <v>139</v>
      </c>
      <c r="B7" s="27"/>
      <c r="C7" s="48"/>
      <c r="D7" s="26"/>
      <c r="E7" s="26"/>
      <c r="F7" s="27"/>
    </row>
    <row r="8" spans="1:6" ht="21.75" customHeight="1">
      <c r="A8" s="28" t="s">
        <v>141</v>
      </c>
      <c r="B8" s="27"/>
      <c r="C8" s="36" t="s">
        <v>67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7"/>
      <c r="C12" s="7"/>
      <c r="D12" s="7"/>
      <c r="E12" s="7"/>
      <c r="F12" s="7"/>
    </row>
    <row r="13" spans="1:6" ht="36" customHeight="1">
      <c r="A13" s="16">
        <v>2</v>
      </c>
      <c r="B13" s="6"/>
      <c r="C13" s="6"/>
      <c r="D13" s="6"/>
      <c r="E13" s="6"/>
      <c r="F13" s="6"/>
    </row>
    <row r="14" spans="1:6" ht="36" customHeight="1">
      <c r="A14" s="14">
        <v>3</v>
      </c>
      <c r="B14" s="7"/>
      <c r="C14" s="7"/>
      <c r="D14" s="7"/>
      <c r="E14" s="7"/>
      <c r="F14" s="7"/>
    </row>
    <row r="15" spans="1:6" ht="36" customHeight="1">
      <c r="A15" s="16">
        <v>4</v>
      </c>
      <c r="B15" s="6"/>
      <c r="C15" s="6"/>
      <c r="D15" s="6"/>
      <c r="E15" s="6"/>
      <c r="F15" s="6"/>
    </row>
    <row r="16" spans="1:6" ht="36" customHeight="1">
      <c r="A16" s="14">
        <v>5</v>
      </c>
      <c r="B16" s="7"/>
      <c r="C16" s="7"/>
      <c r="D16" s="7"/>
      <c r="E16" s="7"/>
      <c r="F16" s="7"/>
    </row>
    <row r="17" spans="1:6" ht="36" customHeight="1">
      <c r="A17" s="16">
        <v>6</v>
      </c>
      <c r="B17" s="6"/>
      <c r="C17" s="6"/>
      <c r="D17" s="6"/>
      <c r="E17" s="6"/>
      <c r="F17" s="6"/>
    </row>
    <row r="18" spans="1:6" ht="36" customHeight="1">
      <c r="A18" s="14">
        <v>7</v>
      </c>
      <c r="B18" s="7"/>
      <c r="C18" s="7"/>
      <c r="D18" s="7"/>
      <c r="E18" s="7"/>
      <c r="F18" s="7"/>
    </row>
    <row r="19" spans="1:6" ht="36" customHeight="1">
      <c r="A19" s="16">
        <v>8</v>
      </c>
      <c r="B19" s="6"/>
      <c r="C19" s="6"/>
      <c r="D19" s="6"/>
      <c r="E19" s="6"/>
      <c r="F19" s="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21.7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37.5" customHeight="1">
      <c r="A23" s="16">
        <v>1</v>
      </c>
      <c r="B23" s="16" t="s">
        <v>353</v>
      </c>
      <c r="C23" s="2"/>
      <c r="D23" s="47"/>
      <c r="E23" s="27"/>
      <c r="F23" s="3"/>
    </row>
    <row r="24" spans="1:6" ht="30" customHeight="1">
      <c r="A24" s="14">
        <v>2</v>
      </c>
      <c r="B24" s="14" t="s">
        <v>354</v>
      </c>
      <c r="C24" s="4"/>
      <c r="D24" s="48"/>
      <c r="E24" s="27"/>
      <c r="F24" s="5"/>
    </row>
    <row r="25" spans="1:6" ht="37.5" customHeight="1">
      <c r="A25" s="16">
        <v>3</v>
      </c>
      <c r="B25" s="16" t="s">
        <v>355</v>
      </c>
      <c r="C25" s="2"/>
      <c r="D25" s="47"/>
      <c r="E25" s="27"/>
      <c r="F25" s="3"/>
    </row>
    <row r="26" spans="1:6" ht="30" customHeight="1">
      <c r="A26" s="14">
        <v>4</v>
      </c>
      <c r="B26" s="14" t="s">
        <v>356</v>
      </c>
      <c r="C26" s="4"/>
      <c r="D26" s="48"/>
      <c r="E26" s="27"/>
      <c r="F26" s="5"/>
    </row>
    <row r="27" spans="1:6" ht="30" customHeight="1">
      <c r="A27" s="16">
        <v>5</v>
      </c>
      <c r="B27" s="16" t="s">
        <v>357</v>
      </c>
      <c r="C27" s="2"/>
      <c r="D27" s="47"/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33.75" customHeight="1">
      <c r="A31" s="16">
        <v>1</v>
      </c>
      <c r="B31" s="6"/>
      <c r="C31" s="6"/>
      <c r="D31" s="6"/>
      <c r="E31" s="6"/>
      <c r="F31" s="6"/>
    </row>
    <row r="32" spans="1:6" ht="33.75" customHeight="1">
      <c r="A32" s="14">
        <v>2</v>
      </c>
      <c r="B32" s="7"/>
      <c r="C32" s="7"/>
      <c r="D32" s="7"/>
      <c r="E32" s="7"/>
      <c r="F32" s="7"/>
    </row>
    <row r="33" spans="1:6" ht="33.75" customHeight="1">
      <c r="A33" s="16">
        <v>3</v>
      </c>
      <c r="B33" s="6"/>
      <c r="C33" s="6"/>
      <c r="D33" s="6"/>
      <c r="E33" s="6"/>
      <c r="F33" s="6"/>
    </row>
    <row r="34" spans="1:6" ht="33.75" customHeight="1">
      <c r="A34" s="14">
        <v>4</v>
      </c>
      <c r="B34" s="7"/>
      <c r="C34" s="7"/>
      <c r="D34" s="7"/>
      <c r="E34" s="7"/>
      <c r="F34" s="7"/>
    </row>
    <row r="35" spans="1:6" ht="7.5" customHeight="1"/>
    <row r="36" spans="1:6" ht="21.75" customHeight="1">
      <c r="A36" s="28" t="s">
        <v>193</v>
      </c>
      <c r="B36" s="26"/>
      <c r="C36" s="27"/>
      <c r="D36" s="48"/>
      <c r="E36" s="26"/>
      <c r="F36" s="27"/>
    </row>
    <row r="37" spans="1:6" ht="21.75" customHeight="1">
      <c r="A37" s="28" t="s">
        <v>194</v>
      </c>
      <c r="B37" s="26"/>
      <c r="C37" s="27"/>
      <c r="D37" s="48"/>
      <c r="E37" s="26"/>
      <c r="F37" s="27"/>
    </row>
    <row r="38" spans="1:6" ht="21.75" customHeight="1">
      <c r="A38" s="28" t="s">
        <v>195</v>
      </c>
      <c r="B38" s="26"/>
      <c r="C38" s="27"/>
      <c r="D38" s="48"/>
      <c r="E38" s="26"/>
      <c r="F38" s="27"/>
    </row>
    <row r="39" spans="1:6" ht="21.75" customHeight="1">
      <c r="A39" s="28" t="s">
        <v>196</v>
      </c>
      <c r="B39" s="26"/>
      <c r="C39" s="27"/>
      <c r="D39" s="48"/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39.75" customHeight="1">
      <c r="A43" s="6"/>
      <c r="B43" s="6"/>
      <c r="C43" s="6"/>
      <c r="D43" s="6"/>
      <c r="E43" s="6"/>
      <c r="F43" s="6"/>
    </row>
    <row r="44" spans="1:6" ht="39.75" customHeight="1">
      <c r="A44" s="7"/>
      <c r="B44" s="7"/>
      <c r="C44" s="7"/>
      <c r="D44" s="7"/>
      <c r="E44" s="7"/>
      <c r="F44" s="7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358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A54:F54"/>
    <mergeCell ref="A48:B48"/>
    <mergeCell ref="C52:F52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C23:C27" xr:uid="{00000000-0002-0000-0600-000000000000}">
      <formula1>"Có,Chưa,Đang làm"</formula1>
    </dataValidation>
    <dataValidation type="list" allowBlank="1" sqref="D12:D19" xr:uid="{00000000-0002-0000-0600-000001000000}">
      <formula1>"Chưa bắt đầu,Đang thực hiện,Hoàn thành,Bị trì hoãn"</formula1>
    </dataValidation>
    <dataValidation type="list" allowBlank="1" sqref="C31:C34" xr:uid="{00000000-0002-0000-0600-000002000000}">
      <formula1>"DECISION,PROBLEM-SOLVING,VERIFICATION"</formula1>
    </dataValidation>
    <dataValidation type="list" allowBlank="1" sqref="E31:E34" xr:uid="{00000000-0002-0000-0600-000003000000}">
      <formula1>"Có,Không"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showGridLines="0" topLeftCell="A53" workbookViewId="0">
      <selection activeCell="E71" sqref="E71"/>
    </sheetView>
  </sheetViews>
  <sheetFormatPr defaultColWidth="14.44140625" defaultRowHeight="15" customHeight="1"/>
  <cols>
    <col min="1" max="1" width="14" customWidth="1"/>
    <col min="2" max="2" width="48" customWidth="1"/>
    <col min="3" max="3" width="38" customWidth="1"/>
    <col min="4" max="4" width="22" customWidth="1"/>
    <col min="5" max="5" width="42" customWidth="1"/>
    <col min="6" max="6" width="32" customWidth="1"/>
    <col min="7" max="26" width="8.77734375" customWidth="1"/>
  </cols>
  <sheetData>
    <row r="1" spans="1:6" ht="33.75" customHeight="1">
      <c r="A1" s="45" t="s">
        <v>359</v>
      </c>
      <c r="B1" s="26"/>
      <c r="C1" s="26"/>
      <c r="D1" s="26"/>
      <c r="E1" s="26"/>
      <c r="F1" s="27"/>
    </row>
    <row r="2" spans="1:6" ht="30" customHeight="1">
      <c r="A2" s="46" t="s">
        <v>360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48"/>
      <c r="D5" s="26"/>
      <c r="E5" s="26"/>
      <c r="F5" s="27"/>
    </row>
    <row r="6" spans="1:6" ht="21.75" customHeight="1">
      <c r="A6" s="28" t="s">
        <v>137</v>
      </c>
      <c r="B6" s="27"/>
      <c r="C6" s="48"/>
      <c r="D6" s="26"/>
      <c r="E6" s="26"/>
      <c r="F6" s="27"/>
    </row>
    <row r="7" spans="1:6" ht="21.75" customHeight="1">
      <c r="A7" s="28" t="s">
        <v>139</v>
      </c>
      <c r="B7" s="27"/>
      <c r="C7" s="48"/>
      <c r="D7" s="26"/>
      <c r="E7" s="26"/>
      <c r="F7" s="27"/>
    </row>
    <row r="8" spans="1:6" ht="21.75" customHeight="1">
      <c r="A8" s="28" t="s">
        <v>141</v>
      </c>
      <c r="B8" s="27"/>
      <c r="C8" s="36" t="s">
        <v>72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7"/>
      <c r="C12" s="7"/>
      <c r="D12" s="7"/>
      <c r="E12" s="7"/>
      <c r="F12" s="7"/>
    </row>
    <row r="13" spans="1:6" ht="36" customHeight="1">
      <c r="A13" s="16">
        <v>2</v>
      </c>
      <c r="B13" s="6"/>
      <c r="C13" s="6"/>
      <c r="D13" s="6"/>
      <c r="E13" s="6"/>
      <c r="F13" s="6"/>
    </row>
    <row r="14" spans="1:6" ht="36" customHeight="1">
      <c r="A14" s="14">
        <v>3</v>
      </c>
      <c r="B14" s="7"/>
      <c r="C14" s="7"/>
      <c r="D14" s="7"/>
      <c r="E14" s="7"/>
      <c r="F14" s="7"/>
    </row>
    <row r="15" spans="1:6" ht="36" customHeight="1">
      <c r="A15" s="16">
        <v>4</v>
      </c>
      <c r="B15" s="6"/>
      <c r="C15" s="6"/>
      <c r="D15" s="6"/>
      <c r="E15" s="6"/>
      <c r="F15" s="6"/>
    </row>
    <row r="16" spans="1:6" ht="36" customHeight="1">
      <c r="A16" s="14">
        <v>5</v>
      </c>
      <c r="B16" s="7"/>
      <c r="C16" s="7"/>
      <c r="D16" s="7"/>
      <c r="E16" s="7"/>
      <c r="F16" s="7"/>
    </row>
    <row r="17" spans="1:6" ht="36" customHeight="1">
      <c r="A17" s="16">
        <v>6</v>
      </c>
      <c r="B17" s="6"/>
      <c r="C17" s="6"/>
      <c r="D17" s="6"/>
      <c r="E17" s="6"/>
      <c r="F17" s="6"/>
    </row>
    <row r="18" spans="1:6" ht="36" customHeight="1">
      <c r="A18" s="14">
        <v>7</v>
      </c>
      <c r="B18" s="7"/>
      <c r="C18" s="7"/>
      <c r="D18" s="7"/>
      <c r="E18" s="7"/>
      <c r="F18" s="7"/>
    </row>
    <row r="19" spans="1:6" ht="36" customHeight="1">
      <c r="A19" s="16">
        <v>8</v>
      </c>
      <c r="B19" s="6"/>
      <c r="C19" s="6"/>
      <c r="D19" s="6"/>
      <c r="E19" s="6"/>
      <c r="F19" s="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21.7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30" customHeight="1">
      <c r="A23" s="16">
        <v>1</v>
      </c>
      <c r="B23" s="16" t="s">
        <v>361</v>
      </c>
      <c r="C23" s="2"/>
      <c r="D23" s="47"/>
      <c r="E23" s="27"/>
      <c r="F23" s="3"/>
    </row>
    <row r="24" spans="1:6" ht="30" customHeight="1">
      <c r="A24" s="14">
        <v>2</v>
      </c>
      <c r="B24" s="14" t="s">
        <v>362</v>
      </c>
      <c r="C24" s="4"/>
      <c r="D24" s="48"/>
      <c r="E24" s="27"/>
      <c r="F24" s="5"/>
    </row>
    <row r="25" spans="1:6" ht="30" customHeight="1">
      <c r="A25" s="16">
        <v>3</v>
      </c>
      <c r="B25" s="16" t="s">
        <v>363</v>
      </c>
      <c r="C25" s="2"/>
      <c r="D25" s="47"/>
      <c r="E25" s="27"/>
      <c r="F25" s="3"/>
    </row>
    <row r="26" spans="1:6" ht="30" customHeight="1">
      <c r="A26" s="14">
        <v>4</v>
      </c>
      <c r="B26" s="14" t="s">
        <v>364</v>
      </c>
      <c r="C26" s="4"/>
      <c r="D26" s="48"/>
      <c r="E26" s="27"/>
      <c r="F26" s="5"/>
    </row>
    <row r="27" spans="1:6" ht="30" customHeight="1">
      <c r="A27" s="16">
        <v>5</v>
      </c>
      <c r="B27" s="16" t="s">
        <v>365</v>
      </c>
      <c r="C27" s="2"/>
      <c r="D27" s="47"/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33.75" customHeight="1">
      <c r="A31" s="16">
        <v>1</v>
      </c>
      <c r="B31" s="6"/>
      <c r="C31" s="6"/>
      <c r="D31" s="6"/>
      <c r="E31" s="6"/>
      <c r="F31" s="6"/>
    </row>
    <row r="32" spans="1:6" ht="33.75" customHeight="1">
      <c r="A32" s="14">
        <v>2</v>
      </c>
      <c r="B32" s="7"/>
      <c r="C32" s="7"/>
      <c r="D32" s="7"/>
      <c r="E32" s="7"/>
      <c r="F32" s="7"/>
    </row>
    <row r="33" spans="1:6" ht="33.75" customHeight="1">
      <c r="A33" s="16">
        <v>3</v>
      </c>
      <c r="B33" s="6"/>
      <c r="C33" s="6"/>
      <c r="D33" s="6"/>
      <c r="E33" s="6"/>
      <c r="F33" s="6"/>
    </row>
    <row r="34" spans="1:6" ht="33.75" customHeight="1">
      <c r="A34" s="14">
        <v>4</v>
      </c>
      <c r="B34" s="7"/>
      <c r="C34" s="7"/>
      <c r="D34" s="7"/>
      <c r="E34" s="7"/>
      <c r="F34" s="7"/>
    </row>
    <row r="35" spans="1:6" ht="7.5" customHeight="1"/>
    <row r="36" spans="1:6" ht="21.75" customHeight="1">
      <c r="A36" s="28" t="s">
        <v>193</v>
      </c>
      <c r="B36" s="26"/>
      <c r="C36" s="27"/>
      <c r="D36" s="48"/>
      <c r="E36" s="26"/>
      <c r="F36" s="27"/>
    </row>
    <row r="37" spans="1:6" ht="21.75" customHeight="1">
      <c r="A37" s="28" t="s">
        <v>194</v>
      </c>
      <c r="B37" s="26"/>
      <c r="C37" s="27"/>
      <c r="D37" s="48"/>
      <c r="E37" s="26"/>
      <c r="F37" s="27"/>
    </row>
    <row r="38" spans="1:6" ht="21.75" customHeight="1">
      <c r="A38" s="28" t="s">
        <v>195</v>
      </c>
      <c r="B38" s="26"/>
      <c r="C38" s="27"/>
      <c r="D38" s="48"/>
      <c r="E38" s="26"/>
      <c r="F38" s="27"/>
    </row>
    <row r="39" spans="1:6" ht="21.75" customHeight="1">
      <c r="A39" s="28" t="s">
        <v>196</v>
      </c>
      <c r="B39" s="26"/>
      <c r="C39" s="27"/>
      <c r="D39" s="48"/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39.75" customHeight="1">
      <c r="A43" s="6"/>
      <c r="B43" s="6"/>
      <c r="C43" s="6"/>
      <c r="D43" s="6"/>
      <c r="E43" s="6"/>
      <c r="F43" s="6"/>
    </row>
    <row r="44" spans="1:6" ht="39.75" customHeight="1">
      <c r="A44" s="7"/>
      <c r="B44" s="7"/>
      <c r="C44" s="7"/>
      <c r="D44" s="7"/>
      <c r="E44" s="7"/>
      <c r="F44" s="7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366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A54:F54"/>
    <mergeCell ref="A48:B48"/>
    <mergeCell ref="C52:F52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C23:C27" xr:uid="{00000000-0002-0000-0700-000000000000}">
      <formula1>"Có,Chưa,Đang làm"</formula1>
    </dataValidation>
    <dataValidation type="list" allowBlank="1" sqref="D12:D19" xr:uid="{00000000-0002-0000-0700-000001000000}">
      <formula1>"Chưa bắt đầu,Đang thực hiện,Hoàn thành,Bị trì hoãn"</formula1>
    </dataValidation>
    <dataValidation type="list" allowBlank="1" sqref="C31:C34" xr:uid="{00000000-0002-0000-0700-000002000000}">
      <formula1>"DECISION,PROBLEM-SOLVING,VERIFICATION"</formula1>
    </dataValidation>
    <dataValidation type="list" allowBlank="1" sqref="E31:E34" xr:uid="{00000000-0002-0000-0700-000003000000}">
      <formula1>"Có,Không"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showGridLines="0" workbookViewId="0">
      <selection sqref="A1:XFD1048576"/>
    </sheetView>
  </sheetViews>
  <sheetFormatPr defaultColWidth="14.44140625" defaultRowHeight="15" customHeight="1"/>
  <cols>
    <col min="1" max="1" width="14" customWidth="1"/>
    <col min="2" max="2" width="48" customWidth="1"/>
    <col min="3" max="3" width="38" customWidth="1"/>
    <col min="4" max="4" width="22" customWidth="1"/>
    <col min="5" max="5" width="42" customWidth="1"/>
    <col min="6" max="6" width="32" customWidth="1"/>
    <col min="7" max="26" width="8.77734375" customWidth="1"/>
  </cols>
  <sheetData>
    <row r="1" spans="1:6" ht="33.75" customHeight="1">
      <c r="A1" s="45" t="s">
        <v>367</v>
      </c>
      <c r="B1" s="26"/>
      <c r="C1" s="26"/>
      <c r="D1" s="26"/>
      <c r="E1" s="26"/>
      <c r="F1" s="27"/>
    </row>
    <row r="2" spans="1:6" ht="30" customHeight="1">
      <c r="A2" s="46" t="s">
        <v>368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48"/>
      <c r="D5" s="26"/>
      <c r="E5" s="26"/>
      <c r="F5" s="27"/>
    </row>
    <row r="6" spans="1:6" ht="21.75" customHeight="1">
      <c r="A6" s="28" t="s">
        <v>137</v>
      </c>
      <c r="B6" s="27"/>
      <c r="C6" s="48"/>
      <c r="D6" s="26"/>
      <c r="E6" s="26"/>
      <c r="F6" s="27"/>
    </row>
    <row r="7" spans="1:6" ht="21.75" customHeight="1">
      <c r="A7" s="28" t="s">
        <v>139</v>
      </c>
      <c r="B7" s="27"/>
      <c r="C7" s="48"/>
      <c r="D7" s="26"/>
      <c r="E7" s="26"/>
      <c r="F7" s="27"/>
    </row>
    <row r="8" spans="1:6" ht="21.75" customHeight="1">
      <c r="A8" s="28" t="s">
        <v>141</v>
      </c>
      <c r="B8" s="27"/>
      <c r="C8" s="36" t="s">
        <v>75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7"/>
      <c r="C12" s="7"/>
      <c r="D12" s="7"/>
      <c r="E12" s="7"/>
      <c r="F12" s="7"/>
    </row>
    <row r="13" spans="1:6" ht="36" customHeight="1">
      <c r="A13" s="16">
        <v>2</v>
      </c>
      <c r="B13" s="6"/>
      <c r="C13" s="6"/>
      <c r="D13" s="6"/>
      <c r="E13" s="6"/>
      <c r="F13" s="6"/>
    </row>
    <row r="14" spans="1:6" ht="36" customHeight="1">
      <c r="A14" s="14">
        <v>3</v>
      </c>
      <c r="B14" s="7"/>
      <c r="C14" s="7"/>
      <c r="D14" s="7"/>
      <c r="E14" s="7"/>
      <c r="F14" s="7"/>
    </row>
    <row r="15" spans="1:6" ht="36" customHeight="1">
      <c r="A15" s="16">
        <v>4</v>
      </c>
      <c r="B15" s="6"/>
      <c r="C15" s="6"/>
      <c r="D15" s="6"/>
      <c r="E15" s="6"/>
      <c r="F15" s="6"/>
    </row>
    <row r="16" spans="1:6" ht="36" customHeight="1">
      <c r="A16" s="14">
        <v>5</v>
      </c>
      <c r="B16" s="7"/>
      <c r="C16" s="7"/>
      <c r="D16" s="7"/>
      <c r="E16" s="7"/>
      <c r="F16" s="7"/>
    </row>
    <row r="17" spans="1:6" ht="36" customHeight="1">
      <c r="A17" s="16">
        <v>6</v>
      </c>
      <c r="B17" s="6"/>
      <c r="C17" s="6"/>
      <c r="D17" s="6"/>
      <c r="E17" s="6"/>
      <c r="F17" s="6"/>
    </row>
    <row r="18" spans="1:6" ht="36" customHeight="1">
      <c r="A18" s="14">
        <v>7</v>
      </c>
      <c r="B18" s="7"/>
      <c r="C18" s="7"/>
      <c r="D18" s="7"/>
      <c r="E18" s="7"/>
      <c r="F18" s="7"/>
    </row>
    <row r="19" spans="1:6" ht="36" customHeight="1">
      <c r="A19" s="16">
        <v>8</v>
      </c>
      <c r="B19" s="6"/>
      <c r="C19" s="6"/>
      <c r="D19" s="6"/>
      <c r="E19" s="6"/>
      <c r="F19" s="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25.9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25.05" customHeight="1">
      <c r="A23" s="16">
        <v>1</v>
      </c>
      <c r="B23" s="16" t="s">
        <v>369</v>
      </c>
      <c r="C23" s="2"/>
      <c r="D23" s="47"/>
      <c r="E23" s="27"/>
      <c r="F23" s="3"/>
    </row>
    <row r="24" spans="1:6" ht="25.05" customHeight="1">
      <c r="A24" s="14">
        <v>2</v>
      </c>
      <c r="B24" s="14" t="s">
        <v>370</v>
      </c>
      <c r="C24" s="4"/>
      <c r="D24" s="48"/>
      <c r="E24" s="27"/>
      <c r="F24" s="5"/>
    </row>
    <row r="25" spans="1:6" ht="37.5" customHeight="1">
      <c r="A25" s="16">
        <v>3</v>
      </c>
      <c r="B25" s="16" t="s">
        <v>371</v>
      </c>
      <c r="C25" s="2"/>
      <c r="D25" s="47"/>
      <c r="E25" s="27"/>
      <c r="F25" s="3"/>
    </row>
    <row r="26" spans="1:6" ht="37.5" customHeight="1">
      <c r="A26" s="14">
        <v>4</v>
      </c>
      <c r="B26" s="14" t="s">
        <v>372</v>
      </c>
      <c r="C26" s="4"/>
      <c r="D26" s="48"/>
      <c r="E26" s="27"/>
      <c r="F26" s="5"/>
    </row>
    <row r="27" spans="1:6" ht="37.5" customHeight="1">
      <c r="A27" s="16">
        <v>5</v>
      </c>
      <c r="B27" s="16" t="s">
        <v>373</v>
      </c>
      <c r="C27" s="2"/>
      <c r="D27" s="47"/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33.75" customHeight="1">
      <c r="A31" s="16">
        <v>1</v>
      </c>
      <c r="B31" s="6"/>
      <c r="C31" s="6"/>
      <c r="D31" s="6"/>
      <c r="E31" s="6"/>
      <c r="F31" s="6"/>
    </row>
    <row r="32" spans="1:6" ht="33.75" customHeight="1">
      <c r="A32" s="14">
        <v>2</v>
      </c>
      <c r="B32" s="7"/>
      <c r="C32" s="7"/>
      <c r="D32" s="7"/>
      <c r="E32" s="7"/>
      <c r="F32" s="7"/>
    </row>
    <row r="33" spans="1:6" ht="33.75" customHeight="1">
      <c r="A33" s="16">
        <v>3</v>
      </c>
      <c r="B33" s="6"/>
      <c r="C33" s="6"/>
      <c r="D33" s="6"/>
      <c r="E33" s="6"/>
      <c r="F33" s="6"/>
    </row>
    <row r="34" spans="1:6" ht="33.75" customHeight="1">
      <c r="A34" s="14">
        <v>4</v>
      </c>
      <c r="B34" s="7"/>
      <c r="C34" s="7"/>
      <c r="D34" s="7"/>
      <c r="E34" s="7"/>
      <c r="F34" s="7"/>
    </row>
    <row r="35" spans="1:6" ht="7.5" customHeight="1"/>
    <row r="36" spans="1:6" ht="21.75" customHeight="1">
      <c r="A36" s="28" t="s">
        <v>193</v>
      </c>
      <c r="B36" s="26"/>
      <c r="C36" s="27"/>
      <c r="D36" s="48"/>
      <c r="E36" s="26"/>
      <c r="F36" s="27"/>
    </row>
    <row r="37" spans="1:6" ht="21.75" customHeight="1">
      <c r="A37" s="28" t="s">
        <v>194</v>
      </c>
      <c r="B37" s="26"/>
      <c r="C37" s="27"/>
      <c r="D37" s="48"/>
      <c r="E37" s="26"/>
      <c r="F37" s="27"/>
    </row>
    <row r="38" spans="1:6" ht="21.75" customHeight="1">
      <c r="A38" s="28" t="s">
        <v>195</v>
      </c>
      <c r="B38" s="26"/>
      <c r="C38" s="27"/>
      <c r="D38" s="48"/>
      <c r="E38" s="26"/>
      <c r="F38" s="27"/>
    </row>
    <row r="39" spans="1:6" ht="21.75" customHeight="1">
      <c r="A39" s="28" t="s">
        <v>196</v>
      </c>
      <c r="B39" s="26"/>
      <c r="C39" s="27"/>
      <c r="D39" s="48"/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39.75" customHeight="1">
      <c r="A43" s="6"/>
      <c r="B43" s="6"/>
      <c r="C43" s="6"/>
      <c r="D43" s="6"/>
      <c r="E43" s="6"/>
      <c r="F43" s="6"/>
    </row>
    <row r="44" spans="1:6" ht="39.75" customHeight="1">
      <c r="A44" s="7"/>
      <c r="B44" s="7"/>
      <c r="C44" s="7"/>
      <c r="D44" s="7"/>
      <c r="E44" s="7"/>
      <c r="F44" s="7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374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A54:F54"/>
    <mergeCell ref="A48:B48"/>
    <mergeCell ref="C52:F52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C23:C27" xr:uid="{00000000-0002-0000-0800-000000000000}">
      <formula1>"Có,Chưa,Đang làm"</formula1>
    </dataValidation>
    <dataValidation type="list" allowBlank="1" sqref="D12:D19" xr:uid="{00000000-0002-0000-0800-000001000000}">
      <formula1>"Chưa bắt đầu,Đang thực hiện,Hoàn thành,Bị trì hoãn"</formula1>
    </dataValidation>
    <dataValidation type="list" allowBlank="1" sqref="C31:C34" xr:uid="{00000000-0002-0000-0800-000002000000}">
      <formula1>"DECISION,PROBLEM-SOLVING,VERIFICATION"</formula1>
    </dataValidation>
    <dataValidation type="list" allowBlank="1" sqref="E31:E34" xr:uid="{00000000-0002-0000-0800-000003000000}">
      <formula1>"Có,Không"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>
      <selection activeCell="C13" sqref="C13"/>
    </sheetView>
  </sheetViews>
  <sheetFormatPr defaultColWidth="14.44140625" defaultRowHeight="14.4"/>
  <cols>
    <col min="1" max="1" width="14" customWidth="1"/>
    <col min="2" max="2" width="48" customWidth="1"/>
    <col min="3" max="3" width="38" customWidth="1"/>
    <col min="4" max="4" width="22" customWidth="1"/>
    <col min="5" max="5" width="42" customWidth="1"/>
    <col min="6" max="6" width="32" customWidth="1"/>
    <col min="7" max="26" width="8.77734375" customWidth="1"/>
  </cols>
  <sheetData>
    <row r="1" spans="1:6" ht="33.75" customHeight="1">
      <c r="A1" s="45" t="s">
        <v>375</v>
      </c>
      <c r="B1" s="26"/>
      <c r="C1" s="26"/>
      <c r="D1" s="26"/>
      <c r="E1" s="26"/>
      <c r="F1" s="27"/>
    </row>
    <row r="2" spans="1:6" ht="30" customHeight="1">
      <c r="A2" s="46" t="s">
        <v>368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48"/>
      <c r="D5" s="26"/>
      <c r="E5" s="26"/>
      <c r="F5" s="27"/>
    </row>
    <row r="6" spans="1:6" ht="21.75" customHeight="1">
      <c r="A6" s="28" t="s">
        <v>137</v>
      </c>
      <c r="B6" s="27"/>
      <c r="C6" s="48"/>
      <c r="D6" s="26"/>
      <c r="E6" s="26"/>
      <c r="F6" s="27"/>
    </row>
    <row r="7" spans="1:6" ht="21.75" customHeight="1">
      <c r="A7" s="28" t="s">
        <v>139</v>
      </c>
      <c r="B7" s="27"/>
      <c r="C7" s="48"/>
      <c r="D7" s="26"/>
      <c r="E7" s="26"/>
      <c r="F7" s="27"/>
    </row>
    <row r="8" spans="1:6" ht="21.75" customHeight="1">
      <c r="A8" s="28" t="s">
        <v>141</v>
      </c>
      <c r="B8" s="27"/>
      <c r="C8" s="36" t="s">
        <v>376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7"/>
      <c r="C12" s="7"/>
      <c r="D12" s="7"/>
      <c r="E12" s="7"/>
      <c r="F12" s="7"/>
    </row>
    <row r="13" spans="1:6" ht="36" customHeight="1">
      <c r="A13" s="16">
        <v>2</v>
      </c>
      <c r="B13" s="6"/>
      <c r="C13" s="6"/>
      <c r="D13" s="6"/>
      <c r="E13" s="6"/>
      <c r="F13" s="6"/>
    </row>
    <row r="14" spans="1:6" ht="36" customHeight="1">
      <c r="A14" s="14">
        <v>3</v>
      </c>
      <c r="B14" s="7"/>
      <c r="C14" s="7"/>
      <c r="D14" s="7"/>
      <c r="E14" s="7"/>
      <c r="F14" s="7"/>
    </row>
    <row r="15" spans="1:6" ht="36" customHeight="1">
      <c r="A15" s="16">
        <v>4</v>
      </c>
      <c r="B15" s="6"/>
      <c r="C15" s="6"/>
      <c r="D15" s="6"/>
      <c r="E15" s="6"/>
      <c r="F15" s="6"/>
    </row>
    <row r="16" spans="1:6" ht="36" customHeight="1">
      <c r="A16" s="14">
        <v>5</v>
      </c>
      <c r="B16" s="7"/>
      <c r="C16" s="7"/>
      <c r="D16" s="7"/>
      <c r="E16" s="7"/>
      <c r="F16" s="7"/>
    </row>
    <row r="17" spans="1:6" ht="36" customHeight="1">
      <c r="A17" s="16">
        <v>6</v>
      </c>
      <c r="B17" s="6"/>
      <c r="C17" s="6"/>
      <c r="D17" s="6"/>
      <c r="E17" s="6"/>
      <c r="F17" s="6"/>
    </row>
    <row r="18" spans="1:6" ht="36" customHeight="1">
      <c r="A18" s="14">
        <v>7</v>
      </c>
      <c r="B18" s="7"/>
      <c r="C18" s="7"/>
      <c r="D18" s="7"/>
      <c r="E18" s="7"/>
      <c r="F18" s="7"/>
    </row>
    <row r="19" spans="1:6" ht="36" customHeight="1">
      <c r="A19" s="16">
        <v>8</v>
      </c>
      <c r="B19" s="6"/>
      <c r="C19" s="6"/>
      <c r="D19" s="6"/>
      <c r="E19" s="6"/>
      <c r="F19" s="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25.9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25.05" customHeight="1">
      <c r="A23" s="16">
        <v>1</v>
      </c>
      <c r="B23" s="16" t="s">
        <v>369</v>
      </c>
      <c r="C23" s="2"/>
      <c r="D23" s="47"/>
      <c r="E23" s="27"/>
      <c r="F23" s="3"/>
    </row>
    <row r="24" spans="1:6" ht="25.05" customHeight="1">
      <c r="A24" s="14">
        <v>2</v>
      </c>
      <c r="B24" s="14" t="s">
        <v>370</v>
      </c>
      <c r="C24" s="4"/>
      <c r="D24" s="48"/>
      <c r="E24" s="27"/>
      <c r="F24" s="5"/>
    </row>
    <row r="25" spans="1:6" ht="37.5" customHeight="1">
      <c r="A25" s="16">
        <v>3</v>
      </c>
      <c r="B25" s="16" t="s">
        <v>371</v>
      </c>
      <c r="C25" s="2"/>
      <c r="D25" s="47"/>
      <c r="E25" s="27"/>
      <c r="F25" s="3"/>
    </row>
    <row r="26" spans="1:6" ht="37.5" customHeight="1">
      <c r="A26" s="14">
        <v>4</v>
      </c>
      <c r="B26" s="14" t="s">
        <v>372</v>
      </c>
      <c r="C26" s="4"/>
      <c r="D26" s="48"/>
      <c r="E26" s="27"/>
      <c r="F26" s="5"/>
    </row>
    <row r="27" spans="1:6" ht="37.5" customHeight="1">
      <c r="A27" s="16">
        <v>5</v>
      </c>
      <c r="B27" s="16" t="s">
        <v>373</v>
      </c>
      <c r="C27" s="2"/>
      <c r="D27" s="47"/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33.75" customHeight="1">
      <c r="A31" s="16">
        <v>1</v>
      </c>
      <c r="B31" s="6"/>
      <c r="C31" s="6"/>
      <c r="D31" s="6"/>
      <c r="E31" s="6"/>
      <c r="F31" s="6"/>
    </row>
    <row r="32" spans="1:6" ht="33.75" customHeight="1">
      <c r="A32" s="14">
        <v>2</v>
      </c>
      <c r="B32" s="7"/>
      <c r="C32" s="7"/>
      <c r="D32" s="7"/>
      <c r="E32" s="7"/>
      <c r="F32" s="7"/>
    </row>
    <row r="33" spans="1:6" ht="33.75" customHeight="1">
      <c r="A33" s="16">
        <v>3</v>
      </c>
      <c r="B33" s="6"/>
      <c r="C33" s="6"/>
      <c r="D33" s="6"/>
      <c r="E33" s="6"/>
      <c r="F33" s="6"/>
    </row>
    <row r="34" spans="1:6" ht="33.75" customHeight="1">
      <c r="A34" s="14">
        <v>4</v>
      </c>
      <c r="B34" s="7"/>
      <c r="C34" s="7"/>
      <c r="D34" s="7"/>
      <c r="E34" s="7"/>
      <c r="F34" s="7"/>
    </row>
    <row r="35" spans="1:6" ht="7.5" customHeight="1"/>
    <row r="36" spans="1:6" ht="21.75" customHeight="1">
      <c r="A36" s="28" t="s">
        <v>193</v>
      </c>
      <c r="B36" s="26"/>
      <c r="C36" s="27"/>
      <c r="D36" s="48"/>
      <c r="E36" s="26"/>
      <c r="F36" s="27"/>
    </row>
    <row r="37" spans="1:6" ht="21.75" customHeight="1">
      <c r="A37" s="28" t="s">
        <v>194</v>
      </c>
      <c r="B37" s="26"/>
      <c r="C37" s="27"/>
      <c r="D37" s="48"/>
      <c r="E37" s="26"/>
      <c r="F37" s="27"/>
    </row>
    <row r="38" spans="1:6" ht="21.75" customHeight="1">
      <c r="A38" s="28" t="s">
        <v>195</v>
      </c>
      <c r="B38" s="26"/>
      <c r="C38" s="27"/>
      <c r="D38" s="48"/>
      <c r="E38" s="26"/>
      <c r="F38" s="27"/>
    </row>
    <row r="39" spans="1:6" ht="21.75" customHeight="1">
      <c r="A39" s="28" t="s">
        <v>196</v>
      </c>
      <c r="B39" s="26"/>
      <c r="C39" s="27"/>
      <c r="D39" s="48"/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39.75" customHeight="1">
      <c r="A43" s="6"/>
      <c r="B43" s="6"/>
      <c r="C43" s="6"/>
      <c r="D43" s="6"/>
      <c r="E43" s="6"/>
      <c r="F43" s="6"/>
    </row>
    <row r="44" spans="1:6" ht="39.75" customHeight="1">
      <c r="A44" s="7"/>
      <c r="B44" s="7"/>
      <c r="C44" s="7"/>
      <c r="D44" s="7"/>
      <c r="E44" s="7"/>
      <c r="F44" s="7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374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C52:F52"/>
    <mergeCell ref="A48:B48"/>
    <mergeCell ref="A54:F54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E31:E34" xr:uid="{00000000-0002-0000-0900-000000000000}">
      <formula1>"Có,Không"</formula1>
    </dataValidation>
    <dataValidation type="list" allowBlank="1" sqref="C31:C34" xr:uid="{00000000-0002-0000-0900-000001000000}">
      <formula1>"DECISION,PROBLEM-SOLVING,VERIFICATION"</formula1>
    </dataValidation>
    <dataValidation type="list" allowBlank="1" sqref="D12:D19" xr:uid="{00000000-0002-0000-0900-000002000000}">
      <formula1>"Chưa bắt đầu,Đang thực hiện,Hoàn thành,Bị trì hoãn"</formula1>
    </dataValidation>
    <dataValidation type="list" allowBlank="1" sqref="C23:C27" xr:uid="{00000000-0002-0000-0900-000003000000}">
      <formula1>"Có,Chưa,Đang làm"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>
      <selection activeCell="C12" sqref="C12"/>
    </sheetView>
  </sheetViews>
  <sheetFormatPr defaultColWidth="14.44140625" defaultRowHeight="14.4"/>
  <cols>
    <col min="1" max="1" width="14" customWidth="1"/>
    <col min="2" max="2" width="48" customWidth="1"/>
    <col min="3" max="3" width="38" customWidth="1"/>
    <col min="4" max="4" width="22" customWidth="1"/>
    <col min="5" max="5" width="42" customWidth="1"/>
    <col min="6" max="6" width="32" customWidth="1"/>
    <col min="7" max="26" width="8.77734375" customWidth="1"/>
  </cols>
  <sheetData>
    <row r="1" spans="1:6" ht="33.75" customHeight="1">
      <c r="A1" s="45" t="s">
        <v>377</v>
      </c>
      <c r="B1" s="26"/>
      <c r="C1" s="26"/>
      <c r="D1" s="26"/>
      <c r="E1" s="26"/>
      <c r="F1" s="27"/>
    </row>
    <row r="2" spans="1:6" ht="30" customHeight="1">
      <c r="A2" s="46" t="s">
        <v>368</v>
      </c>
      <c r="B2" s="26"/>
      <c r="C2" s="26"/>
      <c r="D2" s="26"/>
      <c r="E2" s="26"/>
      <c r="F2" s="27"/>
    </row>
    <row r="3" spans="1:6" ht="7.5" customHeight="1"/>
    <row r="4" spans="1:6" ht="21.75" customHeight="1">
      <c r="A4" s="25" t="s">
        <v>135</v>
      </c>
      <c r="B4" s="26"/>
      <c r="C4" s="26"/>
      <c r="D4" s="26"/>
      <c r="E4" s="26"/>
      <c r="F4" s="27"/>
    </row>
    <row r="5" spans="1:6" ht="21.75" customHeight="1">
      <c r="A5" s="28" t="s">
        <v>136</v>
      </c>
      <c r="B5" s="27"/>
      <c r="C5" s="48"/>
      <c r="D5" s="26"/>
      <c r="E5" s="26"/>
      <c r="F5" s="27"/>
    </row>
    <row r="6" spans="1:6" ht="21.75" customHeight="1">
      <c r="A6" s="28" t="s">
        <v>137</v>
      </c>
      <c r="B6" s="27"/>
      <c r="C6" s="48"/>
      <c r="D6" s="26"/>
      <c r="E6" s="26"/>
      <c r="F6" s="27"/>
    </row>
    <row r="7" spans="1:6" ht="21.75" customHeight="1">
      <c r="A7" s="28" t="s">
        <v>139</v>
      </c>
      <c r="B7" s="27"/>
      <c r="C7" s="48"/>
      <c r="D7" s="26"/>
      <c r="E7" s="26"/>
      <c r="F7" s="27"/>
    </row>
    <row r="8" spans="1:6" ht="21.75" customHeight="1">
      <c r="A8" s="28" t="s">
        <v>141</v>
      </c>
      <c r="B8" s="27"/>
      <c r="C8" s="36" t="s">
        <v>378</v>
      </c>
      <c r="D8" s="26"/>
      <c r="E8" s="26"/>
      <c r="F8" s="27"/>
    </row>
    <row r="9" spans="1:6" ht="7.5" customHeight="1"/>
    <row r="10" spans="1:6" ht="21.75" customHeight="1">
      <c r="A10" s="25" t="s">
        <v>142</v>
      </c>
      <c r="B10" s="26"/>
      <c r="C10" s="26"/>
      <c r="D10" s="26"/>
      <c r="E10" s="26"/>
      <c r="F10" s="27"/>
    </row>
    <row r="11" spans="1:6" ht="25.5" customHeight="1">
      <c r="A11" s="12" t="s">
        <v>18</v>
      </c>
      <c r="B11" s="12" t="s">
        <v>143</v>
      </c>
      <c r="C11" s="12" t="s">
        <v>144</v>
      </c>
      <c r="D11" s="12" t="s">
        <v>34</v>
      </c>
      <c r="E11" s="12" t="s">
        <v>145</v>
      </c>
      <c r="F11" s="12" t="s">
        <v>23</v>
      </c>
    </row>
    <row r="12" spans="1:6" ht="36" customHeight="1">
      <c r="A12" s="14">
        <v>1</v>
      </c>
      <c r="B12" s="7"/>
      <c r="C12" s="7"/>
      <c r="D12" s="7"/>
      <c r="E12" s="7"/>
      <c r="F12" s="7"/>
    </row>
    <row r="13" spans="1:6" ht="36" customHeight="1">
      <c r="A13" s="16">
        <v>2</v>
      </c>
      <c r="B13" s="6"/>
      <c r="C13" s="6"/>
      <c r="D13" s="6"/>
      <c r="E13" s="6"/>
      <c r="F13" s="6"/>
    </row>
    <row r="14" spans="1:6" ht="36" customHeight="1">
      <c r="A14" s="14">
        <v>3</v>
      </c>
      <c r="B14" s="7"/>
      <c r="C14" s="7"/>
      <c r="D14" s="7"/>
      <c r="E14" s="7"/>
      <c r="F14" s="7"/>
    </row>
    <row r="15" spans="1:6" ht="36" customHeight="1">
      <c r="A15" s="16">
        <v>4</v>
      </c>
      <c r="B15" s="6"/>
      <c r="C15" s="6"/>
      <c r="D15" s="6"/>
      <c r="E15" s="6"/>
      <c r="F15" s="6"/>
    </row>
    <row r="16" spans="1:6" ht="36" customHeight="1">
      <c r="A16" s="14">
        <v>5</v>
      </c>
      <c r="B16" s="7"/>
      <c r="C16" s="7"/>
      <c r="D16" s="7"/>
      <c r="E16" s="7"/>
      <c r="F16" s="7"/>
    </row>
    <row r="17" spans="1:6" ht="36" customHeight="1">
      <c r="A17" s="16">
        <v>6</v>
      </c>
      <c r="B17" s="6"/>
      <c r="C17" s="6"/>
      <c r="D17" s="6"/>
      <c r="E17" s="6"/>
      <c r="F17" s="6"/>
    </row>
    <row r="18" spans="1:6" ht="36" customHeight="1">
      <c r="A18" s="14">
        <v>7</v>
      </c>
      <c r="B18" s="7"/>
      <c r="C18" s="7"/>
      <c r="D18" s="7"/>
      <c r="E18" s="7"/>
      <c r="F18" s="7"/>
    </row>
    <row r="19" spans="1:6" ht="36" customHeight="1">
      <c r="A19" s="16">
        <v>8</v>
      </c>
      <c r="B19" s="6"/>
      <c r="C19" s="6"/>
      <c r="D19" s="6"/>
      <c r="E19" s="6"/>
      <c r="F19" s="6"/>
    </row>
    <row r="20" spans="1:6" ht="7.5" customHeight="1"/>
    <row r="21" spans="1:6" ht="21.75" customHeight="1">
      <c r="A21" s="25" t="s">
        <v>161</v>
      </c>
      <c r="B21" s="26"/>
      <c r="C21" s="26"/>
      <c r="D21" s="26"/>
      <c r="E21" s="26"/>
      <c r="F21" s="27"/>
    </row>
    <row r="22" spans="1:6" ht="25.95" customHeight="1">
      <c r="A22" s="12" t="s">
        <v>18</v>
      </c>
      <c r="B22" s="12" t="s">
        <v>162</v>
      </c>
      <c r="C22" s="12" t="s">
        <v>163</v>
      </c>
      <c r="D22" s="12" t="s">
        <v>164</v>
      </c>
      <c r="E22" s="12" t="s">
        <v>23</v>
      </c>
      <c r="F22" s="1"/>
    </row>
    <row r="23" spans="1:6" ht="25.05" customHeight="1">
      <c r="A23" s="16">
        <v>1</v>
      </c>
      <c r="B23" s="16" t="s">
        <v>369</v>
      </c>
      <c r="C23" s="2"/>
      <c r="D23" s="47"/>
      <c r="E23" s="27"/>
      <c r="F23" s="3"/>
    </row>
    <row r="24" spans="1:6" ht="25.05" customHeight="1">
      <c r="A24" s="14">
        <v>2</v>
      </c>
      <c r="B24" s="14" t="s">
        <v>370</v>
      </c>
      <c r="C24" s="4"/>
      <c r="D24" s="48"/>
      <c r="E24" s="27"/>
      <c r="F24" s="5"/>
    </row>
    <row r="25" spans="1:6" ht="37.5" customHeight="1">
      <c r="A25" s="16">
        <v>3</v>
      </c>
      <c r="B25" s="16" t="s">
        <v>371</v>
      </c>
      <c r="C25" s="2"/>
      <c r="D25" s="47"/>
      <c r="E25" s="27"/>
      <c r="F25" s="3"/>
    </row>
    <row r="26" spans="1:6" ht="37.5" customHeight="1">
      <c r="A26" s="14">
        <v>4</v>
      </c>
      <c r="B26" s="14" t="s">
        <v>372</v>
      </c>
      <c r="C26" s="4"/>
      <c r="D26" s="48"/>
      <c r="E26" s="27"/>
      <c r="F26" s="5"/>
    </row>
    <row r="27" spans="1:6" ht="37.5" customHeight="1">
      <c r="A27" s="16">
        <v>5</v>
      </c>
      <c r="B27" s="16" t="s">
        <v>373</v>
      </c>
      <c r="C27" s="2"/>
      <c r="D27" s="47"/>
      <c r="E27" s="27"/>
      <c r="F27" s="3"/>
    </row>
    <row r="28" spans="1:6" ht="7.5" customHeight="1"/>
    <row r="29" spans="1:6" ht="21.75" customHeight="1">
      <c r="A29" s="25" t="s">
        <v>176</v>
      </c>
      <c r="B29" s="26"/>
      <c r="C29" s="26"/>
      <c r="D29" s="26"/>
      <c r="E29" s="26"/>
      <c r="F29" s="27"/>
    </row>
    <row r="30" spans="1:6" ht="30" customHeight="1">
      <c r="A30" s="12" t="s">
        <v>18</v>
      </c>
      <c r="B30" s="12" t="s">
        <v>177</v>
      </c>
      <c r="C30" s="12" t="s">
        <v>178</v>
      </c>
      <c r="D30" s="12" t="s">
        <v>179</v>
      </c>
      <c r="E30" s="12" t="s">
        <v>180</v>
      </c>
      <c r="F30" s="12" t="s">
        <v>181</v>
      </c>
    </row>
    <row r="31" spans="1:6" ht="33.75" customHeight="1">
      <c r="A31" s="16">
        <v>1</v>
      </c>
      <c r="B31" s="6"/>
      <c r="C31" s="6"/>
      <c r="D31" s="6"/>
      <c r="E31" s="6"/>
      <c r="F31" s="6"/>
    </row>
    <row r="32" spans="1:6" ht="33.75" customHeight="1">
      <c r="A32" s="14">
        <v>2</v>
      </c>
      <c r="B32" s="7"/>
      <c r="C32" s="7"/>
      <c r="D32" s="7"/>
      <c r="E32" s="7"/>
      <c r="F32" s="7"/>
    </row>
    <row r="33" spans="1:6" ht="33.75" customHeight="1">
      <c r="A33" s="16">
        <v>3</v>
      </c>
      <c r="B33" s="6"/>
      <c r="C33" s="6"/>
      <c r="D33" s="6"/>
      <c r="E33" s="6"/>
      <c r="F33" s="6"/>
    </row>
    <row r="34" spans="1:6" ht="33.75" customHeight="1">
      <c r="A34" s="14">
        <v>4</v>
      </c>
      <c r="B34" s="7"/>
      <c r="C34" s="7"/>
      <c r="D34" s="7"/>
      <c r="E34" s="7"/>
      <c r="F34" s="7"/>
    </row>
    <row r="35" spans="1:6" ht="7.5" customHeight="1"/>
    <row r="36" spans="1:6" ht="21.75" customHeight="1">
      <c r="A36" s="28" t="s">
        <v>193</v>
      </c>
      <c r="B36" s="26"/>
      <c r="C36" s="27"/>
      <c r="D36" s="48"/>
      <c r="E36" s="26"/>
      <c r="F36" s="27"/>
    </row>
    <row r="37" spans="1:6" ht="21.75" customHeight="1">
      <c r="A37" s="28" t="s">
        <v>194</v>
      </c>
      <c r="B37" s="26"/>
      <c r="C37" s="27"/>
      <c r="D37" s="48"/>
      <c r="E37" s="26"/>
      <c r="F37" s="27"/>
    </row>
    <row r="38" spans="1:6" ht="21.75" customHeight="1">
      <c r="A38" s="28" t="s">
        <v>195</v>
      </c>
      <c r="B38" s="26"/>
      <c r="C38" s="27"/>
      <c r="D38" s="48"/>
      <c r="E38" s="26"/>
      <c r="F38" s="27"/>
    </row>
    <row r="39" spans="1:6" ht="21.75" customHeight="1">
      <c r="A39" s="28" t="s">
        <v>196</v>
      </c>
      <c r="B39" s="26"/>
      <c r="C39" s="27"/>
      <c r="D39" s="48"/>
      <c r="E39" s="26"/>
      <c r="F39" s="27"/>
    </row>
    <row r="40" spans="1:6" ht="7.5" customHeight="1"/>
    <row r="41" spans="1:6" ht="21.75" customHeight="1">
      <c r="A41" s="25" t="s">
        <v>197</v>
      </c>
      <c r="B41" s="26"/>
      <c r="C41" s="26"/>
      <c r="D41" s="26"/>
      <c r="E41" s="26"/>
      <c r="F41" s="27"/>
    </row>
    <row r="42" spans="1:6" ht="25.5" customHeight="1">
      <c r="A42" s="12" t="s">
        <v>198</v>
      </c>
      <c r="B42" s="12" t="s">
        <v>199</v>
      </c>
      <c r="C42" s="12" t="s">
        <v>200</v>
      </c>
      <c r="D42" s="12" t="s">
        <v>201</v>
      </c>
      <c r="E42" s="12" t="s">
        <v>202</v>
      </c>
      <c r="F42" s="1"/>
    </row>
    <row r="43" spans="1:6" ht="39.75" customHeight="1">
      <c r="A43" s="6"/>
      <c r="B43" s="6"/>
      <c r="C43" s="6"/>
      <c r="D43" s="6"/>
      <c r="E43" s="6"/>
      <c r="F43" s="6"/>
    </row>
    <row r="44" spans="1:6" ht="39.75" customHeight="1">
      <c r="A44" s="7"/>
      <c r="B44" s="7"/>
      <c r="C44" s="7"/>
      <c r="D44" s="7"/>
      <c r="E44" s="7"/>
      <c r="F44" s="7"/>
    </row>
    <row r="45" spans="1:6" ht="39.75" customHeight="1">
      <c r="A45" s="6"/>
      <c r="B45" s="6"/>
      <c r="C45" s="6"/>
      <c r="D45" s="6"/>
      <c r="E45" s="6"/>
      <c r="F45" s="6"/>
    </row>
    <row r="46" spans="1:6" ht="7.5" customHeight="1"/>
    <row r="47" spans="1:6" ht="24" customHeight="1">
      <c r="A47" s="44" t="s">
        <v>209</v>
      </c>
      <c r="B47" s="26"/>
      <c r="C47" s="26"/>
      <c r="D47" s="26"/>
      <c r="E47" s="26"/>
      <c r="F47" s="27"/>
    </row>
    <row r="48" spans="1:6" ht="30" customHeight="1">
      <c r="A48" s="28" t="s">
        <v>210</v>
      </c>
      <c r="B48" s="27"/>
      <c r="C48" s="29"/>
      <c r="D48" s="26"/>
      <c r="E48" s="26"/>
      <c r="F48" s="27"/>
    </row>
    <row r="49" spans="1:6" ht="30" customHeight="1">
      <c r="A49" s="28" t="s">
        <v>211</v>
      </c>
      <c r="B49" s="27"/>
      <c r="C49" s="29"/>
      <c r="D49" s="26"/>
      <c r="E49" s="26"/>
      <c r="F49" s="27"/>
    </row>
    <row r="50" spans="1:6" ht="30" customHeight="1">
      <c r="A50" s="28" t="s">
        <v>212</v>
      </c>
      <c r="B50" s="27"/>
      <c r="C50" s="29"/>
      <c r="D50" s="26"/>
      <c r="E50" s="26"/>
      <c r="F50" s="27"/>
    </row>
    <row r="51" spans="1:6" ht="30" customHeight="1">
      <c r="A51" s="28" t="s">
        <v>213</v>
      </c>
      <c r="B51" s="27"/>
      <c r="C51" s="29"/>
      <c r="D51" s="26"/>
      <c r="E51" s="26"/>
      <c r="F51" s="27"/>
    </row>
    <row r="52" spans="1:6" ht="30" customHeight="1">
      <c r="A52" s="28" t="s">
        <v>214</v>
      </c>
      <c r="B52" s="27"/>
      <c r="C52" s="29"/>
      <c r="D52" s="26"/>
      <c r="E52" s="26"/>
      <c r="F52" s="27"/>
    </row>
    <row r="53" spans="1:6" ht="7.5" customHeight="1"/>
    <row r="54" spans="1:6" ht="30" customHeight="1">
      <c r="A54" s="43" t="s">
        <v>374</v>
      </c>
      <c r="B54" s="26"/>
      <c r="C54" s="26"/>
      <c r="D54" s="26"/>
      <c r="E54" s="26"/>
      <c r="F54" s="27"/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F1"/>
    <mergeCell ref="D23:E23"/>
    <mergeCell ref="D36:F36"/>
    <mergeCell ref="D26:E26"/>
    <mergeCell ref="A6:B6"/>
    <mergeCell ref="A2:F2"/>
    <mergeCell ref="A7:B7"/>
    <mergeCell ref="D27:E27"/>
    <mergeCell ref="C6:F6"/>
    <mergeCell ref="A4:F4"/>
    <mergeCell ref="C7:F7"/>
    <mergeCell ref="A21:F21"/>
    <mergeCell ref="C5:F5"/>
    <mergeCell ref="A5:B5"/>
    <mergeCell ref="C8:F8"/>
    <mergeCell ref="A8:B8"/>
    <mergeCell ref="C50:F50"/>
    <mergeCell ref="D25:E25"/>
    <mergeCell ref="A36:C36"/>
    <mergeCell ref="D24:E24"/>
    <mergeCell ref="A41:F41"/>
    <mergeCell ref="A29:F29"/>
    <mergeCell ref="D38:F38"/>
    <mergeCell ref="A10:F10"/>
    <mergeCell ref="A47:F47"/>
    <mergeCell ref="A38:C38"/>
    <mergeCell ref="A39:C39"/>
    <mergeCell ref="A37:C37"/>
    <mergeCell ref="D37:F37"/>
    <mergeCell ref="D39:F39"/>
    <mergeCell ref="C52:F52"/>
    <mergeCell ref="A48:B48"/>
    <mergeCell ref="A54:F54"/>
    <mergeCell ref="C48:F48"/>
    <mergeCell ref="A52:B52"/>
    <mergeCell ref="A49:B49"/>
    <mergeCell ref="A51:B51"/>
    <mergeCell ref="C51:F51"/>
    <mergeCell ref="C49:F49"/>
    <mergeCell ref="A50:B50"/>
  </mergeCells>
  <dataValidations count="4">
    <dataValidation type="list" allowBlank="1" sqref="C23:C27" xr:uid="{00000000-0002-0000-0A00-000000000000}">
      <formula1>"Có,Chưa,Đang làm"</formula1>
    </dataValidation>
    <dataValidation type="list" allowBlank="1" sqref="D12:D19" xr:uid="{00000000-0002-0000-0A00-000001000000}">
      <formula1>"Chưa bắt đầu,Đang thực hiện,Hoàn thành,Bị trì hoãn"</formula1>
    </dataValidation>
    <dataValidation type="list" allowBlank="1" sqref="C31:C34" xr:uid="{00000000-0002-0000-0A00-000002000000}">
      <formula1>"DECISION,PROBLEM-SOLVING,VERIFICATION"</formula1>
    </dataValidation>
    <dataValidation type="list" allowBlank="1" sqref="E31:E34" xr:uid="{00000000-0002-0000-0A00-000003000000}">
      <formula1>"Có,Không"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00"/>
  <sheetViews>
    <sheetView showGridLines="0" workbookViewId="0">
      <selection sqref="A1:J1"/>
    </sheetView>
  </sheetViews>
  <sheetFormatPr defaultColWidth="14.44140625" defaultRowHeight="15" customHeight="1"/>
  <cols>
    <col min="1" max="1" width="14" customWidth="1"/>
    <col min="2" max="2" width="48" customWidth="1"/>
    <col min="3" max="3" width="30" customWidth="1"/>
    <col min="4" max="4" width="22" customWidth="1"/>
    <col min="5" max="5" width="42" customWidth="1"/>
    <col min="6" max="6" width="32" customWidth="1"/>
    <col min="7" max="9" width="30" customWidth="1"/>
    <col min="10" max="10" width="22" customWidth="1"/>
    <col min="11" max="26" width="8.77734375" customWidth="1"/>
  </cols>
  <sheetData>
    <row r="1" spans="1:10" ht="36" customHeight="1">
      <c r="A1" s="33" t="s">
        <v>379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ht="21.75" customHeight="1">
      <c r="A2" s="25" t="s">
        <v>380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ht="36" customHeight="1">
      <c r="A3" s="12" t="s">
        <v>18</v>
      </c>
      <c r="B3" s="12" t="s">
        <v>198</v>
      </c>
      <c r="C3" s="12" t="s">
        <v>381</v>
      </c>
      <c r="D3" s="12" t="s">
        <v>382</v>
      </c>
      <c r="E3" s="12" t="s">
        <v>383</v>
      </c>
      <c r="F3" s="12" t="s">
        <v>384</v>
      </c>
      <c r="G3" s="12" t="s">
        <v>385</v>
      </c>
      <c r="H3" s="12" t="s">
        <v>386</v>
      </c>
      <c r="I3" s="12" t="s">
        <v>387</v>
      </c>
      <c r="J3" s="12" t="s">
        <v>388</v>
      </c>
    </row>
    <row r="4" spans="1:10" ht="25.5" customHeight="1">
      <c r="A4" s="14">
        <v>1</v>
      </c>
      <c r="B4" s="14" t="s">
        <v>24</v>
      </c>
      <c r="C4" s="14">
        <v>9</v>
      </c>
      <c r="D4" s="14">
        <v>9</v>
      </c>
      <c r="E4" s="14">
        <v>9</v>
      </c>
      <c r="F4" s="14">
        <v>10</v>
      </c>
      <c r="G4" s="14"/>
      <c r="H4" s="14"/>
      <c r="I4" s="14"/>
      <c r="J4" s="19">
        <f>IFERROR(AVERAGE(C4:I4),"-")</f>
        <v>9.25</v>
      </c>
    </row>
    <row r="5" spans="1:10" ht="25.5" customHeight="1">
      <c r="A5" s="16">
        <v>2</v>
      </c>
      <c r="B5" s="16" t="s">
        <v>27</v>
      </c>
      <c r="C5" s="16">
        <v>9</v>
      </c>
      <c r="D5" s="16">
        <v>9</v>
      </c>
      <c r="E5" s="16">
        <v>9</v>
      </c>
      <c r="F5" s="16">
        <v>10</v>
      </c>
      <c r="G5" s="16"/>
      <c r="H5" s="16"/>
      <c r="I5" s="16"/>
      <c r="J5" s="19">
        <f>IFERROR(AVERAGE(C5:I5),"-")</f>
        <v>9.25</v>
      </c>
    </row>
    <row r="6" spans="1:10" ht="25.5" customHeight="1">
      <c r="A6" s="14">
        <v>3</v>
      </c>
      <c r="B6" s="14"/>
      <c r="C6" s="14"/>
      <c r="D6" s="14"/>
      <c r="E6" s="14"/>
      <c r="F6" s="14"/>
      <c r="G6" s="14"/>
      <c r="H6" s="14"/>
      <c r="I6" s="14"/>
      <c r="J6" s="19" t="str">
        <f>IFERROR(AVERAGE(C6:I6),"-")</f>
        <v>-</v>
      </c>
    </row>
    <row r="7" spans="1:10" ht="7.5" customHeight="1"/>
    <row r="8" spans="1:10" ht="21.75" customHeight="1">
      <c r="A8" s="25" t="s">
        <v>389</v>
      </c>
      <c r="B8" s="26"/>
      <c r="C8" s="26"/>
      <c r="D8" s="26"/>
      <c r="E8" s="26"/>
      <c r="F8" s="26"/>
      <c r="G8" s="26"/>
      <c r="H8" s="26"/>
      <c r="I8" s="26"/>
      <c r="J8" s="27"/>
    </row>
    <row r="9" spans="1:10" ht="36" customHeight="1">
      <c r="A9" s="12" t="s">
        <v>18</v>
      </c>
      <c r="B9" s="12" t="s">
        <v>198</v>
      </c>
      <c r="C9" s="12" t="s">
        <v>390</v>
      </c>
      <c r="D9" s="12" t="s">
        <v>391</v>
      </c>
      <c r="E9" s="12" t="s">
        <v>392</v>
      </c>
      <c r="F9" s="12" t="s">
        <v>393</v>
      </c>
      <c r="G9" s="12" t="s">
        <v>394</v>
      </c>
      <c r="H9" s="12" t="s">
        <v>395</v>
      </c>
      <c r="I9" s="12" t="s">
        <v>396</v>
      </c>
      <c r="J9" s="12" t="s">
        <v>397</v>
      </c>
    </row>
    <row r="10" spans="1:10" ht="25.5" customHeight="1">
      <c r="A10" s="14">
        <v>1</v>
      </c>
      <c r="B10" s="14" t="s">
        <v>24</v>
      </c>
      <c r="C10" s="14">
        <v>2</v>
      </c>
      <c r="D10" s="14">
        <v>3</v>
      </c>
      <c r="E10" s="14">
        <v>4</v>
      </c>
      <c r="F10" s="14">
        <v>6</v>
      </c>
      <c r="G10" s="14"/>
      <c r="H10" s="14"/>
      <c r="I10" s="14"/>
      <c r="J10" s="20">
        <f>IFERROR(SUM(C10:I10),0)</f>
        <v>15</v>
      </c>
    </row>
    <row r="11" spans="1:10" ht="25.5" customHeight="1">
      <c r="A11" s="16">
        <v>2</v>
      </c>
      <c r="B11" s="16" t="s">
        <v>27</v>
      </c>
      <c r="C11" s="16">
        <v>1</v>
      </c>
      <c r="D11" s="16">
        <v>3</v>
      </c>
      <c r="E11" s="16">
        <v>5</v>
      </c>
      <c r="F11" s="16">
        <v>7</v>
      </c>
      <c r="G11" s="16"/>
      <c r="H11" s="16"/>
      <c r="I11" s="16"/>
      <c r="J11" s="20">
        <f>IFERROR(SUM(C11:I11),0)</f>
        <v>16</v>
      </c>
    </row>
    <row r="12" spans="1:10" ht="25.5" customHeight="1">
      <c r="A12" s="14">
        <v>3</v>
      </c>
      <c r="B12" s="14"/>
      <c r="C12" s="14"/>
      <c r="D12" s="14"/>
      <c r="E12" s="14"/>
      <c r="F12" s="14"/>
      <c r="G12" s="14"/>
      <c r="H12" s="14"/>
      <c r="I12" s="14"/>
      <c r="J12" s="20">
        <f>IFERROR(SUM(C12:I12),0)</f>
        <v>0</v>
      </c>
    </row>
    <row r="13" spans="1:10" ht="7.5" customHeight="1"/>
    <row r="14" spans="1:10" ht="21.75" customHeight="1">
      <c r="A14" s="25" t="s">
        <v>398</v>
      </c>
      <c r="B14" s="26"/>
      <c r="C14" s="26"/>
      <c r="D14" s="26"/>
      <c r="E14" s="26"/>
      <c r="F14" s="26"/>
      <c r="G14" s="26"/>
      <c r="H14" s="26"/>
      <c r="I14" s="26"/>
      <c r="J14" s="27"/>
    </row>
    <row r="15" spans="1:10" ht="36" customHeight="1">
      <c r="A15" s="12" t="s">
        <v>18</v>
      </c>
      <c r="B15" s="12" t="s">
        <v>198</v>
      </c>
      <c r="C15" s="12" t="s">
        <v>399</v>
      </c>
      <c r="D15" s="12" t="s">
        <v>400</v>
      </c>
      <c r="E15" s="12" t="s">
        <v>401</v>
      </c>
      <c r="F15" s="12" t="s">
        <v>402</v>
      </c>
      <c r="G15" s="12" t="s">
        <v>403</v>
      </c>
      <c r="H15" s="12" t="s">
        <v>404</v>
      </c>
      <c r="I15" s="12" t="s">
        <v>405</v>
      </c>
      <c r="J15" s="12" t="s">
        <v>406</v>
      </c>
    </row>
    <row r="16" spans="1:10" ht="25.5" customHeight="1">
      <c r="A16" s="14">
        <v>1</v>
      </c>
      <c r="B16" s="14" t="s">
        <v>24</v>
      </c>
      <c r="C16" s="14">
        <v>0</v>
      </c>
      <c r="D16" s="14">
        <v>0</v>
      </c>
      <c r="E16" s="14">
        <v>1</v>
      </c>
      <c r="F16" s="14">
        <v>1</v>
      </c>
      <c r="G16" s="14"/>
      <c r="H16" s="14"/>
      <c r="I16" s="14"/>
      <c r="J16" s="19">
        <f>IFERROR(SUM(C16:I16),0)</f>
        <v>2</v>
      </c>
    </row>
    <row r="17" spans="1:10" ht="25.5" customHeight="1">
      <c r="A17" s="16">
        <v>2</v>
      </c>
      <c r="B17" s="16" t="s">
        <v>27</v>
      </c>
      <c r="C17" s="16">
        <v>0</v>
      </c>
      <c r="D17" s="16">
        <v>0</v>
      </c>
      <c r="E17" s="16">
        <v>0</v>
      </c>
      <c r="F17" s="16">
        <v>1</v>
      </c>
      <c r="G17" s="16"/>
      <c r="H17" s="16"/>
      <c r="I17" s="16"/>
      <c r="J17" s="19">
        <f>IFERROR(SUM(C17:I17),0)</f>
        <v>1</v>
      </c>
    </row>
    <row r="18" spans="1:10" ht="25.5" customHeight="1">
      <c r="A18" s="14">
        <v>3</v>
      </c>
      <c r="B18" s="14"/>
      <c r="C18" s="14"/>
      <c r="D18" s="14"/>
      <c r="E18" s="14"/>
      <c r="F18" s="14"/>
      <c r="G18" s="14"/>
      <c r="H18" s="14"/>
      <c r="I18" s="14"/>
      <c r="J18" s="19">
        <f>IFERROR(SUM(C18:I18),0)</f>
        <v>0</v>
      </c>
    </row>
    <row r="19" spans="1:10" ht="7.5" customHeight="1"/>
    <row r="20" spans="1:10" ht="21.75" customHeight="1">
      <c r="A20" s="44" t="s">
        <v>407</v>
      </c>
      <c r="B20" s="26"/>
      <c r="C20" s="26"/>
      <c r="D20" s="26"/>
      <c r="E20" s="26"/>
      <c r="F20" s="26"/>
      <c r="G20" s="26"/>
      <c r="H20" s="26"/>
      <c r="I20" s="26"/>
      <c r="J20" s="27"/>
    </row>
    <row r="21" spans="1:10" ht="37.5" customHeight="1">
      <c r="A21" s="28" t="s">
        <v>408</v>
      </c>
      <c r="B21" s="26"/>
      <c r="C21" s="27"/>
      <c r="D21" s="29"/>
      <c r="E21" s="26"/>
      <c r="F21" s="26"/>
      <c r="G21" s="26"/>
      <c r="H21" s="26"/>
      <c r="I21" s="26"/>
      <c r="J21" s="27"/>
    </row>
    <row r="22" spans="1:10" ht="37.5" customHeight="1">
      <c r="A22" s="28" t="s">
        <v>409</v>
      </c>
      <c r="B22" s="26"/>
      <c r="C22" s="27"/>
      <c r="D22" s="29"/>
      <c r="E22" s="26"/>
      <c r="F22" s="26"/>
      <c r="G22" s="26"/>
      <c r="H22" s="26"/>
      <c r="I22" s="26"/>
      <c r="J22" s="27"/>
    </row>
    <row r="23" spans="1:10" ht="37.5" customHeight="1">
      <c r="A23" s="28" t="s">
        <v>410</v>
      </c>
      <c r="B23" s="26"/>
      <c r="C23" s="27"/>
      <c r="D23" s="29"/>
      <c r="E23" s="26"/>
      <c r="F23" s="26"/>
      <c r="G23" s="26"/>
      <c r="H23" s="26"/>
      <c r="I23" s="26"/>
      <c r="J23" s="27"/>
    </row>
    <row r="24" spans="1:10" ht="37.5" customHeight="1">
      <c r="A24" s="28" t="s">
        <v>411</v>
      </c>
      <c r="B24" s="26"/>
      <c r="C24" s="27"/>
      <c r="D24" s="29"/>
      <c r="E24" s="26"/>
      <c r="F24" s="26"/>
      <c r="G24" s="26"/>
      <c r="H24" s="26"/>
      <c r="I24" s="26"/>
      <c r="J24" s="27"/>
    </row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24:J24"/>
    <mergeCell ref="A24:C24"/>
    <mergeCell ref="D23:J23"/>
    <mergeCell ref="A1:J1"/>
    <mergeCell ref="D22:J22"/>
    <mergeCell ref="A14:J14"/>
    <mergeCell ref="A8:J8"/>
    <mergeCell ref="A23:C23"/>
    <mergeCell ref="D21:J21"/>
    <mergeCell ref="A22:C22"/>
    <mergeCell ref="A21:C21"/>
    <mergeCell ref="A20:J20"/>
    <mergeCell ref="A2:J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12</vt:i4>
      </vt:variant>
    </vt:vector>
  </HeadingPairs>
  <TitlesOfParts>
    <vt:vector size="12" baseType="lpstr">
      <vt:lpstr>Hướng Dẫn</vt:lpstr>
      <vt:lpstr>Thông Tin Nhóm</vt:lpstr>
      <vt:lpstr>Tuần 1</vt:lpstr>
      <vt:lpstr>Tuần 2</vt:lpstr>
      <vt:lpstr>Tuần 3</vt:lpstr>
      <vt:lpstr>Tuần 4</vt:lpstr>
      <vt:lpstr>Tuần 5</vt:lpstr>
      <vt:lpstr>Tuần 6</vt:lpstr>
      <vt:lpstr>Tuần 7</vt:lpstr>
      <vt:lpstr>Tuần 8</vt:lpstr>
      <vt:lpstr>Tuần 9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Ta</cp:lastModifiedBy>
  <dcterms:created xsi:type="dcterms:W3CDTF">2026-05-25T05:39:14Z</dcterms:created>
  <dcterms:modified xsi:type="dcterms:W3CDTF">2026-06-12T09:25:04Z</dcterms:modified>
</cp:coreProperties>
</file>